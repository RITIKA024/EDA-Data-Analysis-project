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80" yWindow="100" windowWidth="19100" windowHeight="7300" activeTab="4"/>
  </bookViews>
  <sheets>
    <sheet name="Sales_Data" sheetId="1" r:id="rId1"/>
    <sheet name="EDA Questions" sheetId="3" r:id="rId2"/>
    <sheet name="EDA Summary" sheetId="4" r:id="rId3"/>
    <sheet name="Visualizations" sheetId="5" r:id="rId4"/>
    <sheet name="Dashboard" sheetId="8" r:id="rId5"/>
  </sheets>
  <calcPr calcId="124519"/>
  <pivotCaches>
    <pivotCache cacheId="0" r:id="rId6"/>
  </pivotCaches>
</workbook>
</file>

<file path=xl/calcChain.xml><?xml version="1.0" encoding="utf-8"?>
<calcChain xmlns="http://schemas.openxmlformats.org/spreadsheetml/2006/main">
  <c r="H22" i="4"/>
  <c r="H21"/>
  <c r="H20"/>
  <c r="H19"/>
  <c r="H18"/>
  <c r="H17"/>
  <c r="G22"/>
  <c r="G21"/>
  <c r="G20"/>
  <c r="G18"/>
  <c r="G19"/>
  <c r="G17"/>
  <c r="F22"/>
  <c r="F21"/>
  <c r="F20"/>
  <c r="F19"/>
  <c r="F17"/>
  <c r="F18"/>
</calcChain>
</file>

<file path=xl/sharedStrings.xml><?xml version="1.0" encoding="utf-8"?>
<sst xmlns="http://schemas.openxmlformats.org/spreadsheetml/2006/main" count="229" uniqueCount="70">
  <si>
    <t>Order_ID</t>
  </si>
  <si>
    <t>Date</t>
  </si>
  <si>
    <t>Region</t>
  </si>
  <si>
    <t>Product</t>
  </si>
  <si>
    <t>Category</t>
  </si>
  <si>
    <t>Quantity</t>
  </si>
  <si>
    <t>Sales</t>
  </si>
  <si>
    <t>Profit</t>
  </si>
  <si>
    <t>East</t>
  </si>
  <si>
    <t>Shirt</t>
  </si>
  <si>
    <t>Clothing</t>
  </si>
  <si>
    <t>West</t>
  </si>
  <si>
    <t>Camera</t>
  </si>
  <si>
    <t>Electronics</t>
  </si>
  <si>
    <t>North</t>
  </si>
  <si>
    <t>South</t>
  </si>
  <si>
    <t>T-Shirt</t>
  </si>
  <si>
    <t>Phone</t>
  </si>
  <si>
    <t>Chair</t>
  </si>
  <si>
    <t>Furniture</t>
  </si>
  <si>
    <t>Jacket</t>
  </si>
  <si>
    <t>Printer</t>
  </si>
  <si>
    <t>Headphones</t>
  </si>
  <si>
    <t>Jeans</t>
  </si>
  <si>
    <t>Desk</t>
  </si>
  <si>
    <t>Table</t>
  </si>
  <si>
    <t>Sofa</t>
  </si>
  <si>
    <t>Laptop</t>
  </si>
  <si>
    <t>Bookshelf</t>
  </si>
  <si>
    <t>Shoes</t>
  </si>
  <si>
    <t>Issue Checked</t>
  </si>
  <si>
    <t>Action Taken</t>
  </si>
  <si>
    <t>Result</t>
  </si>
  <si>
    <t>Duplicates</t>
  </si>
  <si>
    <t>No duplicates found</t>
  </si>
  <si>
    <t>Missing Values</t>
  </si>
  <si>
    <t>Verified using COUNTBLANK</t>
  </si>
  <si>
    <t>No missing values found</t>
  </si>
  <si>
    <t>Formatting</t>
  </si>
  <si>
    <t>Checked dates and numeric columns</t>
  </si>
  <si>
    <t>All formats correct</t>
  </si>
  <si>
    <t>Text Consistency</t>
  </si>
  <si>
    <t>Checked Region and Category columns</t>
  </si>
  <si>
    <t>All consistent</t>
  </si>
  <si>
    <t>Checked using Remove Duplicates tool</t>
  </si>
  <si>
    <t>Metrix</t>
  </si>
  <si>
    <t>Total</t>
  </si>
  <si>
    <t>Average</t>
  </si>
  <si>
    <t>Median</t>
  </si>
  <si>
    <t>Minimum</t>
  </si>
  <si>
    <t>Maximum</t>
  </si>
  <si>
    <t>Standard Daviation</t>
  </si>
  <si>
    <t>Row Labels</t>
  </si>
  <si>
    <t>Grand Total</t>
  </si>
  <si>
    <t>Sum of Sales</t>
  </si>
  <si>
    <t>Values</t>
  </si>
  <si>
    <t>Sum of Profit</t>
  </si>
  <si>
    <t>Jan</t>
  </si>
  <si>
    <t>Feb</t>
  </si>
  <si>
    <t>Mar</t>
  </si>
  <si>
    <t>Apr</t>
  </si>
  <si>
    <t>May</t>
  </si>
  <si>
    <t>Jun</t>
  </si>
  <si>
    <t>Aug</t>
  </si>
  <si>
    <t>Sep</t>
  </si>
  <si>
    <t>Oct</t>
  </si>
  <si>
    <t>Nov</t>
  </si>
  <si>
    <t>Dec</t>
  </si>
  <si>
    <t>Sales Analysis Dashboard</t>
  </si>
  <si>
    <t xml:space="preserve">Prepared by Ritika Verma- Data Analytics Project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</si>
</sst>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/>
    <xf numFmtId="14" fontId="1" fillId="0" borderId="0" xfId="0" applyNumberFormat="1" applyFont="1" applyAlignment="1"/>
    <xf numFmtId="0" fontId="1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2(Exploratory_Data_Analysis_EDA).xlsx]Visualizations!PivotTable1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Visualizations!$B$6:$B$7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Visualizations!$A$8:$A$12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Visualizations!$B$8:$B$12</c:f>
              <c:numCache>
                <c:formatCode>General</c:formatCode>
                <c:ptCount val="4"/>
                <c:pt idx="0">
                  <c:v>1212199</c:v>
                </c:pt>
                <c:pt idx="1">
                  <c:v>1813701</c:v>
                </c:pt>
                <c:pt idx="2">
                  <c:v>2179673</c:v>
                </c:pt>
                <c:pt idx="3">
                  <c:v>1302822</c:v>
                </c:pt>
              </c:numCache>
            </c:numRef>
          </c:val>
        </c:ser>
        <c:ser>
          <c:idx val="1"/>
          <c:order val="1"/>
          <c:tx>
            <c:strRef>
              <c:f>Visualizations!$C$6:$C$7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Visualizations!$A$8:$A$12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Visualizations!$C$8:$C$12</c:f>
              <c:numCache>
                <c:formatCode>General</c:formatCode>
                <c:ptCount val="4"/>
                <c:pt idx="0">
                  <c:v>236780</c:v>
                </c:pt>
                <c:pt idx="1">
                  <c:v>320296</c:v>
                </c:pt>
                <c:pt idx="2">
                  <c:v>267035</c:v>
                </c:pt>
                <c:pt idx="3">
                  <c:v>233684</c:v>
                </c:pt>
              </c:numCache>
            </c:numRef>
          </c:val>
        </c:ser>
        <c:shape val="box"/>
        <c:axId val="162484608"/>
        <c:axId val="77990912"/>
        <c:axId val="0"/>
      </c:bar3DChart>
      <c:catAx>
        <c:axId val="162484608"/>
        <c:scaling>
          <c:orientation val="minMax"/>
        </c:scaling>
        <c:axPos val="b"/>
        <c:tickLblPos val="nextTo"/>
        <c:crossAx val="77990912"/>
        <c:crosses val="autoZero"/>
        <c:auto val="1"/>
        <c:lblAlgn val="ctr"/>
        <c:lblOffset val="100"/>
      </c:catAx>
      <c:valAx>
        <c:axId val="77990912"/>
        <c:scaling>
          <c:orientation val="minMax"/>
        </c:scaling>
        <c:axPos val="l"/>
        <c:majorGridlines/>
        <c:numFmt formatCode="General" sourceLinked="1"/>
        <c:tickLblPos val="nextTo"/>
        <c:crossAx val="162484608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[Task 2(Exploratory_Data_Analysis_EDA).xlsx]Visualizations!PivotTable3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Product-wise Sales</a:t>
            </a:r>
          </a:p>
        </c:rich>
      </c:tx>
      <c:layout/>
    </c:title>
    <c:pivotFmts>
      <c:pivotFmt>
        <c:idx val="0"/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Visualizations!$B$20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Visualizations!$A$21:$A$36</c:f>
              <c:strCache>
                <c:ptCount val="15"/>
                <c:pt idx="0">
                  <c:v>Bookshelf</c:v>
                </c:pt>
                <c:pt idx="1">
                  <c:v>Camera</c:v>
                </c:pt>
                <c:pt idx="2">
                  <c:v>Chair</c:v>
                </c:pt>
                <c:pt idx="3">
                  <c:v>Desk</c:v>
                </c:pt>
                <c:pt idx="4">
                  <c:v>Headphones</c:v>
                </c:pt>
                <c:pt idx="5">
                  <c:v>Jacket</c:v>
                </c:pt>
                <c:pt idx="6">
                  <c:v>Jeans</c:v>
                </c:pt>
                <c:pt idx="7">
                  <c:v>Laptop</c:v>
                </c:pt>
                <c:pt idx="8">
                  <c:v>Phone</c:v>
                </c:pt>
                <c:pt idx="9">
                  <c:v>Printer</c:v>
                </c:pt>
                <c:pt idx="10">
                  <c:v>Shirt</c:v>
                </c:pt>
                <c:pt idx="11">
                  <c:v>Shoes</c:v>
                </c:pt>
                <c:pt idx="12">
                  <c:v>Sofa</c:v>
                </c:pt>
                <c:pt idx="13">
                  <c:v>Table</c:v>
                </c:pt>
                <c:pt idx="14">
                  <c:v>T-Shirt</c:v>
                </c:pt>
              </c:strCache>
            </c:strRef>
          </c:cat>
          <c:val>
            <c:numRef>
              <c:f>Visualizations!$B$21:$B$36</c:f>
              <c:numCache>
                <c:formatCode>General</c:formatCode>
                <c:ptCount val="15"/>
                <c:pt idx="0">
                  <c:v>104280</c:v>
                </c:pt>
                <c:pt idx="1">
                  <c:v>250691</c:v>
                </c:pt>
                <c:pt idx="2">
                  <c:v>647395</c:v>
                </c:pt>
                <c:pt idx="3">
                  <c:v>669407</c:v>
                </c:pt>
                <c:pt idx="4">
                  <c:v>436130</c:v>
                </c:pt>
                <c:pt idx="5">
                  <c:v>286200</c:v>
                </c:pt>
                <c:pt idx="6">
                  <c:v>551847</c:v>
                </c:pt>
                <c:pt idx="7">
                  <c:v>462022</c:v>
                </c:pt>
                <c:pt idx="8">
                  <c:v>237630</c:v>
                </c:pt>
                <c:pt idx="9">
                  <c:v>211665</c:v>
                </c:pt>
                <c:pt idx="10">
                  <c:v>137639</c:v>
                </c:pt>
                <c:pt idx="11">
                  <c:v>81335</c:v>
                </c:pt>
                <c:pt idx="12">
                  <c:v>1141036</c:v>
                </c:pt>
                <c:pt idx="13">
                  <c:v>775490</c:v>
                </c:pt>
                <c:pt idx="14">
                  <c:v>515628</c:v>
                </c:pt>
              </c:numCache>
            </c:numRef>
          </c:val>
        </c:ser>
        <c:shape val="box"/>
        <c:axId val="83762176"/>
        <c:axId val="145947648"/>
        <c:axId val="0"/>
      </c:bar3DChart>
      <c:catAx>
        <c:axId val="83762176"/>
        <c:scaling>
          <c:orientation val="minMax"/>
        </c:scaling>
        <c:axPos val="l"/>
        <c:tickLblPos val="nextTo"/>
        <c:crossAx val="145947648"/>
        <c:crosses val="autoZero"/>
        <c:auto val="1"/>
        <c:lblAlgn val="ctr"/>
        <c:lblOffset val="100"/>
      </c:catAx>
      <c:valAx>
        <c:axId val="145947648"/>
        <c:scaling>
          <c:orientation val="minMax"/>
        </c:scaling>
        <c:axPos val="b"/>
        <c:majorGridlines/>
        <c:numFmt formatCode="General" sourceLinked="1"/>
        <c:tickLblPos val="nextTo"/>
        <c:crossAx val="83762176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7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2(Exploratory_Data_Analysis_EDA).xlsx]Visualizations!PivotTable4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Month-wise Sales</a:t>
            </a:r>
          </a:p>
        </c:rich>
      </c:tx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Visualizations!$B$39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Visualizations!$A$40:$A$51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Visualizations!$B$40:$B$51</c:f>
              <c:numCache>
                <c:formatCode>General</c:formatCode>
                <c:ptCount val="11"/>
                <c:pt idx="0">
                  <c:v>255467</c:v>
                </c:pt>
                <c:pt idx="1">
                  <c:v>646515</c:v>
                </c:pt>
                <c:pt idx="2">
                  <c:v>572024</c:v>
                </c:pt>
                <c:pt idx="3">
                  <c:v>826880</c:v>
                </c:pt>
                <c:pt idx="4">
                  <c:v>1463644</c:v>
                </c:pt>
                <c:pt idx="5">
                  <c:v>184266</c:v>
                </c:pt>
                <c:pt idx="6">
                  <c:v>695213</c:v>
                </c:pt>
                <c:pt idx="7">
                  <c:v>76930</c:v>
                </c:pt>
                <c:pt idx="8">
                  <c:v>511792</c:v>
                </c:pt>
                <c:pt idx="9">
                  <c:v>409371</c:v>
                </c:pt>
                <c:pt idx="10">
                  <c:v>866293</c:v>
                </c:pt>
              </c:numCache>
            </c:numRef>
          </c:val>
        </c:ser>
        <c:marker val="1"/>
        <c:axId val="78423936"/>
        <c:axId val="78425472"/>
      </c:lineChart>
      <c:catAx>
        <c:axId val="78423936"/>
        <c:scaling>
          <c:orientation val="minMax"/>
        </c:scaling>
        <c:axPos val="b"/>
        <c:tickLblPos val="nextTo"/>
        <c:crossAx val="78425472"/>
        <c:crosses val="autoZero"/>
        <c:auto val="1"/>
        <c:lblAlgn val="ctr"/>
        <c:lblOffset val="100"/>
      </c:catAx>
      <c:valAx>
        <c:axId val="78425472"/>
        <c:scaling>
          <c:orientation val="minMax"/>
        </c:scaling>
        <c:axPos val="l"/>
        <c:majorGridlines/>
        <c:numFmt formatCode="General" sourceLinked="1"/>
        <c:tickLblPos val="nextTo"/>
        <c:crossAx val="78423936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pivotSource>
    <c:name>[Task 2(Exploratory_Data_Analysis_EDA).xlsx]Visualizations!PivotTable5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Quantity vs Profit</a:t>
            </a:r>
          </a:p>
        </c:rich>
      </c:tx>
      <c:layout/>
    </c:title>
    <c:pivotFmts>
      <c:pivotFmt>
        <c:idx val="0"/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Visualizations!$B$59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Visualizations!$A$60:$A$70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Visualizations!$B$60:$B$70</c:f>
              <c:numCache>
                <c:formatCode>General</c:formatCode>
                <c:ptCount val="10"/>
                <c:pt idx="0">
                  <c:v>7680</c:v>
                </c:pt>
                <c:pt idx="1">
                  <c:v>42622</c:v>
                </c:pt>
                <c:pt idx="2">
                  <c:v>60512</c:v>
                </c:pt>
                <c:pt idx="3">
                  <c:v>132634</c:v>
                </c:pt>
                <c:pt idx="4">
                  <c:v>50454</c:v>
                </c:pt>
                <c:pt idx="5">
                  <c:v>67711</c:v>
                </c:pt>
                <c:pt idx="6">
                  <c:v>192980</c:v>
                </c:pt>
                <c:pt idx="7">
                  <c:v>121532</c:v>
                </c:pt>
                <c:pt idx="8">
                  <c:v>166029</c:v>
                </c:pt>
                <c:pt idx="9">
                  <c:v>215641</c:v>
                </c:pt>
              </c:numCache>
            </c:numRef>
          </c:val>
        </c:ser>
        <c:shape val="box"/>
        <c:axId val="78512128"/>
        <c:axId val="79828096"/>
        <c:axId val="0"/>
      </c:bar3DChart>
      <c:catAx>
        <c:axId val="78512128"/>
        <c:scaling>
          <c:orientation val="minMax"/>
        </c:scaling>
        <c:axPos val="b"/>
        <c:tickLblPos val="nextTo"/>
        <c:crossAx val="79828096"/>
        <c:crosses val="autoZero"/>
        <c:auto val="1"/>
        <c:lblAlgn val="ctr"/>
        <c:lblOffset val="100"/>
      </c:catAx>
      <c:valAx>
        <c:axId val="79828096"/>
        <c:scaling>
          <c:orientation val="minMax"/>
        </c:scaling>
        <c:axPos val="l"/>
        <c:majorGridlines/>
        <c:numFmt formatCode="General" sourceLinked="1"/>
        <c:tickLblPos val="nextTo"/>
        <c:crossAx val="78512128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2(Exploratory_Data_Analysis_EDA).xlsx]Visualizations!PivotTable1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Region-wise</a:t>
            </a:r>
            <a:r>
              <a:rPr lang="en-US" baseline="0"/>
              <a:t> </a:t>
            </a:r>
            <a:r>
              <a:rPr lang="en-US"/>
              <a:t>Sales &amp; Profit</a:t>
            </a:r>
            <a:r>
              <a:rPr lang="en-US" baseline="0"/>
              <a:t>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Visualizations!$B$6:$B$7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Visualizations!$A$8:$A$12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Visualizations!$B$8:$B$12</c:f>
              <c:numCache>
                <c:formatCode>General</c:formatCode>
                <c:ptCount val="4"/>
                <c:pt idx="0">
                  <c:v>1212199</c:v>
                </c:pt>
                <c:pt idx="1">
                  <c:v>1813701</c:v>
                </c:pt>
                <c:pt idx="2">
                  <c:v>2179673</c:v>
                </c:pt>
                <c:pt idx="3">
                  <c:v>1302822</c:v>
                </c:pt>
              </c:numCache>
            </c:numRef>
          </c:val>
        </c:ser>
        <c:ser>
          <c:idx val="1"/>
          <c:order val="1"/>
          <c:tx>
            <c:strRef>
              <c:f>Visualizations!$C$6:$C$7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Visualizations!$A$8:$A$12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Visualizations!$C$8:$C$12</c:f>
              <c:numCache>
                <c:formatCode>General</c:formatCode>
                <c:ptCount val="4"/>
                <c:pt idx="0">
                  <c:v>236780</c:v>
                </c:pt>
                <c:pt idx="1">
                  <c:v>320296</c:v>
                </c:pt>
                <c:pt idx="2">
                  <c:v>267035</c:v>
                </c:pt>
                <c:pt idx="3">
                  <c:v>233684</c:v>
                </c:pt>
              </c:numCache>
            </c:numRef>
          </c:val>
        </c:ser>
        <c:shape val="box"/>
        <c:axId val="84103168"/>
        <c:axId val="84105472"/>
        <c:axId val="0"/>
      </c:bar3DChart>
      <c:catAx>
        <c:axId val="84103168"/>
        <c:scaling>
          <c:orientation val="minMax"/>
        </c:scaling>
        <c:axPos val="b"/>
        <c:tickLblPos val="nextTo"/>
        <c:crossAx val="84105472"/>
        <c:crosses val="autoZero"/>
        <c:auto val="1"/>
        <c:lblAlgn val="ctr"/>
        <c:lblOffset val="100"/>
      </c:catAx>
      <c:valAx>
        <c:axId val="84105472"/>
        <c:scaling>
          <c:orientation val="minMax"/>
        </c:scaling>
        <c:axPos val="l"/>
        <c:majorGridlines/>
        <c:numFmt formatCode="General" sourceLinked="1"/>
        <c:tickLblPos val="nextTo"/>
        <c:crossAx val="84103168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100" b="1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[Task 2(Exploratory_Data_Analysis_EDA).xlsx]Visualizations!PivotTable3</c:name>
    <c:fmtId val="2"/>
  </c:pivotSource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Product-wise Sales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Visualizations!$B$20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Visualizations!$A$21:$A$36</c:f>
              <c:strCache>
                <c:ptCount val="15"/>
                <c:pt idx="0">
                  <c:v>Bookshelf</c:v>
                </c:pt>
                <c:pt idx="1">
                  <c:v>Camera</c:v>
                </c:pt>
                <c:pt idx="2">
                  <c:v>Chair</c:v>
                </c:pt>
                <c:pt idx="3">
                  <c:v>Desk</c:v>
                </c:pt>
                <c:pt idx="4">
                  <c:v>Headphones</c:v>
                </c:pt>
                <c:pt idx="5">
                  <c:v>Jacket</c:v>
                </c:pt>
                <c:pt idx="6">
                  <c:v>Jeans</c:v>
                </c:pt>
                <c:pt idx="7">
                  <c:v>Laptop</c:v>
                </c:pt>
                <c:pt idx="8">
                  <c:v>Phone</c:v>
                </c:pt>
                <c:pt idx="9">
                  <c:v>Printer</c:v>
                </c:pt>
                <c:pt idx="10">
                  <c:v>Shirt</c:v>
                </c:pt>
                <c:pt idx="11">
                  <c:v>Shoes</c:v>
                </c:pt>
                <c:pt idx="12">
                  <c:v>Sofa</c:v>
                </c:pt>
                <c:pt idx="13">
                  <c:v>Table</c:v>
                </c:pt>
                <c:pt idx="14">
                  <c:v>T-Shirt</c:v>
                </c:pt>
              </c:strCache>
            </c:strRef>
          </c:cat>
          <c:val>
            <c:numRef>
              <c:f>Visualizations!$B$21:$B$36</c:f>
              <c:numCache>
                <c:formatCode>General</c:formatCode>
                <c:ptCount val="15"/>
                <c:pt idx="0">
                  <c:v>104280</c:v>
                </c:pt>
                <c:pt idx="1">
                  <c:v>250691</c:v>
                </c:pt>
                <c:pt idx="2">
                  <c:v>647395</c:v>
                </c:pt>
                <c:pt idx="3">
                  <c:v>669407</c:v>
                </c:pt>
                <c:pt idx="4">
                  <c:v>436130</c:v>
                </c:pt>
                <c:pt idx="5">
                  <c:v>286200</c:v>
                </c:pt>
                <c:pt idx="6">
                  <c:v>551847</c:v>
                </c:pt>
                <c:pt idx="7">
                  <c:v>462022</c:v>
                </c:pt>
                <c:pt idx="8">
                  <c:v>237630</c:v>
                </c:pt>
                <c:pt idx="9">
                  <c:v>211665</c:v>
                </c:pt>
                <c:pt idx="10">
                  <c:v>137639</c:v>
                </c:pt>
                <c:pt idx="11">
                  <c:v>81335</c:v>
                </c:pt>
                <c:pt idx="12">
                  <c:v>1141036</c:v>
                </c:pt>
                <c:pt idx="13">
                  <c:v>775490</c:v>
                </c:pt>
                <c:pt idx="14">
                  <c:v>515628</c:v>
                </c:pt>
              </c:numCache>
            </c:numRef>
          </c:val>
        </c:ser>
        <c:shape val="box"/>
        <c:axId val="83761024"/>
        <c:axId val="83784448"/>
        <c:axId val="0"/>
      </c:bar3DChart>
      <c:catAx>
        <c:axId val="83761024"/>
        <c:scaling>
          <c:orientation val="minMax"/>
        </c:scaling>
        <c:axPos val="l"/>
        <c:tickLblPos val="nextTo"/>
        <c:crossAx val="83784448"/>
        <c:crosses val="autoZero"/>
        <c:auto val="1"/>
        <c:lblAlgn val="ctr"/>
        <c:lblOffset val="100"/>
      </c:catAx>
      <c:valAx>
        <c:axId val="83784448"/>
        <c:scaling>
          <c:orientation val="minMax"/>
        </c:scaling>
        <c:axPos val="b"/>
        <c:majorGridlines/>
        <c:numFmt formatCode="General" sourceLinked="1"/>
        <c:tickLblPos val="nextTo"/>
        <c:crossAx val="83761024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600" b="1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2(Exploratory_Data_Analysis_EDA).xlsx]Visualizations!PivotTable4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Month-wise Sales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Visualizations!$B$39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Visualizations!$A$40:$A$51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Visualizations!$B$40:$B$51</c:f>
              <c:numCache>
                <c:formatCode>General</c:formatCode>
                <c:ptCount val="11"/>
                <c:pt idx="0">
                  <c:v>255467</c:v>
                </c:pt>
                <c:pt idx="1">
                  <c:v>646515</c:v>
                </c:pt>
                <c:pt idx="2">
                  <c:v>572024</c:v>
                </c:pt>
                <c:pt idx="3">
                  <c:v>826880</c:v>
                </c:pt>
                <c:pt idx="4">
                  <c:v>1463644</c:v>
                </c:pt>
                <c:pt idx="5">
                  <c:v>184266</c:v>
                </c:pt>
                <c:pt idx="6">
                  <c:v>695213</c:v>
                </c:pt>
                <c:pt idx="7">
                  <c:v>76930</c:v>
                </c:pt>
                <c:pt idx="8">
                  <c:v>511792</c:v>
                </c:pt>
                <c:pt idx="9">
                  <c:v>409371</c:v>
                </c:pt>
                <c:pt idx="10">
                  <c:v>866293</c:v>
                </c:pt>
              </c:numCache>
            </c:numRef>
          </c:val>
        </c:ser>
        <c:marker val="1"/>
        <c:axId val="146335232"/>
        <c:axId val="146337152"/>
      </c:lineChart>
      <c:catAx>
        <c:axId val="146335232"/>
        <c:scaling>
          <c:orientation val="minMax"/>
        </c:scaling>
        <c:axPos val="b"/>
        <c:tickLblPos val="nextTo"/>
        <c:crossAx val="146337152"/>
        <c:crosses val="autoZero"/>
        <c:auto val="1"/>
        <c:lblAlgn val="ctr"/>
        <c:lblOffset val="100"/>
      </c:catAx>
      <c:valAx>
        <c:axId val="146337152"/>
        <c:scaling>
          <c:orientation val="minMax"/>
        </c:scaling>
        <c:axPos val="l"/>
        <c:majorGridlines/>
        <c:numFmt formatCode="General" sourceLinked="1"/>
        <c:tickLblPos val="nextTo"/>
        <c:crossAx val="146335232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050" b="1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pivotSource>
    <c:name>[Task 2(Exploratory_Data_Analysis_EDA).xlsx]Visualizations!PivotTable5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Quantity vs Profit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Visualizations!$B$59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Visualizations!$A$60:$A$70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Visualizations!$B$60:$B$70</c:f>
              <c:numCache>
                <c:formatCode>General</c:formatCode>
                <c:ptCount val="10"/>
                <c:pt idx="0">
                  <c:v>7680</c:v>
                </c:pt>
                <c:pt idx="1">
                  <c:v>42622</c:v>
                </c:pt>
                <c:pt idx="2">
                  <c:v>60512</c:v>
                </c:pt>
                <c:pt idx="3">
                  <c:v>132634</c:v>
                </c:pt>
                <c:pt idx="4">
                  <c:v>50454</c:v>
                </c:pt>
                <c:pt idx="5">
                  <c:v>67711</c:v>
                </c:pt>
                <c:pt idx="6">
                  <c:v>192980</c:v>
                </c:pt>
                <c:pt idx="7">
                  <c:v>121532</c:v>
                </c:pt>
                <c:pt idx="8">
                  <c:v>166029</c:v>
                </c:pt>
                <c:pt idx="9">
                  <c:v>215641</c:v>
                </c:pt>
              </c:numCache>
            </c:numRef>
          </c:val>
        </c:ser>
        <c:shape val="box"/>
        <c:axId val="195868928"/>
        <c:axId val="196044288"/>
        <c:axId val="0"/>
      </c:bar3DChart>
      <c:catAx>
        <c:axId val="195868928"/>
        <c:scaling>
          <c:orientation val="minMax"/>
        </c:scaling>
        <c:axPos val="b"/>
        <c:tickLblPos val="nextTo"/>
        <c:crossAx val="196044288"/>
        <c:crosses val="autoZero"/>
        <c:auto val="1"/>
        <c:lblAlgn val="ctr"/>
        <c:lblOffset val="100"/>
      </c:catAx>
      <c:valAx>
        <c:axId val="196044288"/>
        <c:scaling>
          <c:orientation val="minMax"/>
        </c:scaling>
        <c:axPos val="l"/>
        <c:majorGridlines/>
        <c:numFmt formatCode="General" sourceLinked="1"/>
        <c:tickLblPos val="nextTo"/>
        <c:crossAx val="195868928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050" b="1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4</xdr:row>
      <xdr:rowOff>19050</xdr:rowOff>
    </xdr:from>
    <xdr:ext cx="7327900" cy="3763338"/>
    <xdr:sp macro="" textlink="">
      <xdr:nvSpPr>
        <xdr:cNvPr id="2" name="TextBox 1"/>
        <xdr:cNvSpPr txBox="1"/>
      </xdr:nvSpPr>
      <xdr:spPr>
        <a:xfrm>
          <a:off x="1847850" y="755650"/>
          <a:ext cx="7327900" cy="376333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 i="1" u="sng"/>
            <a:t>QUES</a:t>
          </a:r>
          <a:r>
            <a:rPr lang="en-US" sz="1400" b="1" i="1" u="sng" baseline="0"/>
            <a:t> 1</a:t>
          </a:r>
          <a:r>
            <a:rPr lang="en-US" sz="1400" b="1" i="1" baseline="0"/>
            <a:t>. </a:t>
          </a:r>
          <a:r>
            <a:rPr lang="en-US" sz="1400" b="1" i="1"/>
            <a:t>Which region has the highest total sales?</a:t>
          </a:r>
        </a:p>
        <a:p>
          <a:r>
            <a:rPr lang="en-US" sz="1400" b="1" i="1" u="sng"/>
            <a:t>ANS</a:t>
          </a:r>
          <a:r>
            <a:rPr lang="en-US" sz="1400" b="1" i="1" u="sng" baseline="0"/>
            <a:t> . </a:t>
          </a:r>
          <a:r>
            <a:rPr lang="en-US" sz="1400"/>
            <a:t>South region has the highest sales and profit, indicating it’s the strongest-performing market.</a:t>
          </a:r>
          <a:endParaRPr lang="en-US" sz="1400" b="1" i="1" u="sng"/>
        </a:p>
        <a:p>
          <a:endParaRPr lang="en-US" sz="1400" b="1" i="1"/>
        </a:p>
        <a:p>
          <a:r>
            <a:rPr lang="en-US" sz="1400" b="1" i="1" u="sng"/>
            <a:t>QUES 2</a:t>
          </a:r>
          <a:r>
            <a:rPr lang="en-US" sz="1400" b="1" i="1"/>
            <a:t>. Which product generates the most revenue?</a:t>
          </a:r>
        </a:p>
        <a:p>
          <a:r>
            <a:rPr lang="en-US" sz="1400" b="1" i="1" u="sng"/>
            <a:t>ANS</a:t>
          </a:r>
          <a:r>
            <a:rPr lang="en-US" sz="1400" b="1" i="1" u="sng" baseline="0"/>
            <a:t>. </a:t>
          </a:r>
          <a:r>
            <a:rPr lang="en-US" sz="1400"/>
            <a:t>“Sofa” and “Table” are top-selling products, while “Bookshelf” and “Shoes” have the lowest sales.</a:t>
          </a:r>
          <a:endParaRPr lang="en-US" sz="1400" b="1" i="1" u="sng"/>
        </a:p>
        <a:p>
          <a:endParaRPr lang="en-US" sz="1400" b="1" i="1"/>
        </a:p>
        <a:p>
          <a:r>
            <a:rPr lang="en-US" sz="1400" b="1" i="1" u="sng"/>
            <a:t>QUES 3</a:t>
          </a:r>
          <a:r>
            <a:rPr lang="en-US" sz="1400" b="1" i="1"/>
            <a:t>. Which month has the highest sales?</a:t>
          </a:r>
        </a:p>
        <a:p>
          <a:r>
            <a:rPr lang="en-US" sz="1400" b="1" i="1" u="sng"/>
            <a:t>ANS .  </a:t>
          </a:r>
          <a:r>
            <a:rPr lang="en-US" sz="1400"/>
            <a:t>Sales peak in April, May, and August, while November records the lowest sales.</a:t>
          </a:r>
          <a:endParaRPr lang="en-US" sz="1400" b="1" i="1" u="sng"/>
        </a:p>
        <a:p>
          <a:endParaRPr lang="en-US" sz="1400" b="1" i="1"/>
        </a:p>
        <a:p>
          <a:r>
            <a:rPr lang="en-US" sz="1400" b="1" i="1" u="sng"/>
            <a:t>QUES</a:t>
          </a:r>
          <a:r>
            <a:rPr lang="en-US" sz="1400" b="1" i="1" u="sng" baseline="0"/>
            <a:t> 4</a:t>
          </a:r>
          <a:r>
            <a:rPr lang="en-US" sz="1400" b="1" i="1" baseline="0"/>
            <a:t>. </a:t>
          </a:r>
          <a:r>
            <a:rPr lang="en-US" sz="1400" b="1" i="1"/>
            <a:t>Are there any missing or incorrect values in the dataset?</a:t>
          </a:r>
        </a:p>
        <a:p>
          <a:r>
            <a:rPr lang="en-US" sz="1400" b="1" i="1" u="sng"/>
            <a:t>ANS .  </a:t>
          </a:r>
          <a:r>
            <a:rPr lang="en-US" sz="1400"/>
            <a:t>As quantity increases, profit also tends to rise, suggesting a positive correlation.</a:t>
          </a:r>
          <a:endParaRPr lang="en-US" sz="1400" b="1" i="1" u="sng"/>
        </a:p>
        <a:p>
          <a:endParaRPr lang="en-US" sz="1400" b="1" i="1"/>
        </a:p>
        <a:p>
          <a:r>
            <a:rPr lang="en-US" sz="1400" b="1" i="1" u="sng"/>
            <a:t>QUES 5</a:t>
          </a:r>
          <a:r>
            <a:rPr lang="en-US" sz="1400" b="1" i="1"/>
            <a:t>. Which category gives the most profit?</a:t>
          </a:r>
        </a:p>
        <a:p>
          <a:r>
            <a:rPr lang="en-US" sz="1400" b="1" i="1" u="sng"/>
            <a:t>ANS.  </a:t>
          </a:r>
          <a:r>
            <a:rPr lang="en-US" sz="1400"/>
            <a:t>As quantity increases, profit also tends to rise, suggesting a positive correlation.</a:t>
          </a:r>
          <a:endParaRPr lang="en-US" sz="1400" b="1" i="1" u="sng"/>
        </a:p>
        <a:p>
          <a:endParaRPr lang="en-US" sz="1000"/>
        </a:p>
      </xdr:txBody>
    </xdr:sp>
    <xdr:clientData/>
  </xdr:oneCellAnchor>
  <xdr:oneCellAnchor>
    <xdr:from>
      <xdr:col>6</xdr:col>
      <xdr:colOff>323850</xdr:colOff>
      <xdr:row>1</xdr:row>
      <xdr:rowOff>6350</xdr:rowOff>
    </xdr:from>
    <xdr:ext cx="3136900" cy="468013"/>
    <xdr:sp macro="" textlink="">
      <xdr:nvSpPr>
        <xdr:cNvPr id="3" name="TextBox 2"/>
        <xdr:cNvSpPr txBox="1"/>
      </xdr:nvSpPr>
      <xdr:spPr>
        <a:xfrm>
          <a:off x="3981450" y="190500"/>
          <a:ext cx="31369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2400" b="1" i="1" u="dbl">
              <a:solidFill>
                <a:srgbClr val="002060"/>
              </a:solidFill>
            </a:rPr>
            <a:t>EDA QUESTIONS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25400</xdr:colOff>
      <xdr:row>1</xdr:row>
      <xdr:rowOff>57150</xdr:rowOff>
    </xdr:from>
    <xdr:ext cx="2258567" cy="468013"/>
    <xdr:sp macro="" textlink="">
      <xdr:nvSpPr>
        <xdr:cNvPr id="2" name="TextBox 1"/>
        <xdr:cNvSpPr txBox="1"/>
      </xdr:nvSpPr>
      <xdr:spPr>
        <a:xfrm>
          <a:off x="6248400" y="241300"/>
          <a:ext cx="22585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2400" b="1" i="1" u="sng">
              <a:solidFill>
                <a:srgbClr val="002060"/>
              </a:solidFill>
            </a:rPr>
            <a:t>EDA SUMMARY </a:t>
          </a:r>
        </a:p>
      </xdr:txBody>
    </xdr:sp>
    <xdr:clientData/>
  </xdr:oneCellAnchor>
  <xdr:oneCellAnchor>
    <xdr:from>
      <xdr:col>3</xdr:col>
      <xdr:colOff>914400</xdr:colOff>
      <xdr:row>26</xdr:row>
      <xdr:rowOff>19050</xdr:rowOff>
    </xdr:from>
    <xdr:ext cx="6753003" cy="1579471"/>
    <xdr:sp macro="" textlink="">
      <xdr:nvSpPr>
        <xdr:cNvPr id="3" name="TextBox 2"/>
        <xdr:cNvSpPr txBox="1"/>
      </xdr:nvSpPr>
      <xdr:spPr>
        <a:xfrm>
          <a:off x="2743200" y="6299200"/>
          <a:ext cx="6753003" cy="1579471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2000" b="1" i="1" u="sng"/>
            <a:t>INSIGHTS</a:t>
          </a:r>
        </a:p>
        <a:p>
          <a:endParaRPr lang="en-US" sz="1600" b="0" i="1" u="none"/>
        </a:p>
        <a:p>
          <a:pPr algn="l"/>
          <a:r>
            <a:rPr lang="en-US" sz="1600" b="1" i="1" u="none"/>
            <a:t>*</a:t>
          </a:r>
          <a:r>
            <a:rPr lang="en-US" sz="1600" b="0" i="1" u="none" baseline="0"/>
            <a:t> </a:t>
          </a:r>
          <a:r>
            <a:rPr lang="en-US" sz="1600" b="0" i="1" u="none">
              <a:solidFill>
                <a:schemeClr val="bg2">
                  <a:lumMod val="25000"/>
                </a:schemeClr>
              </a:solidFill>
            </a:rPr>
            <a:t>The company made a total of ₹6.5M in sales with ₹1.05M profit.</a:t>
          </a:r>
        </a:p>
        <a:p>
          <a:pPr algn="l"/>
          <a:r>
            <a:rPr lang="en-US" sz="1600" b="1" i="1" u="none"/>
            <a:t>*</a:t>
          </a:r>
          <a:r>
            <a:rPr lang="en-US" sz="1600" b="0" i="1" u="none"/>
            <a:t> </a:t>
          </a:r>
          <a:r>
            <a:rPr lang="en-US" sz="1600" b="0" i="1" u="none">
              <a:solidFill>
                <a:schemeClr val="bg2">
                  <a:lumMod val="25000"/>
                </a:schemeClr>
              </a:solidFill>
            </a:rPr>
            <a:t>Average sales per order ≈ ₹1.3L, and average quantity sold ≈ 5 units.</a:t>
          </a:r>
        </a:p>
        <a:p>
          <a:pPr algn="l"/>
          <a:r>
            <a:rPr lang="en-US" sz="1600" b="1" i="1" u="none"/>
            <a:t>*</a:t>
          </a:r>
          <a:r>
            <a:rPr lang="en-US" sz="1600" b="0" i="1" u="none"/>
            <a:t> </a:t>
          </a:r>
          <a:r>
            <a:rPr lang="en-US" sz="1600" b="0" i="1" u="none">
              <a:solidFill>
                <a:schemeClr val="bg2">
                  <a:lumMod val="25000"/>
                </a:schemeClr>
              </a:solidFill>
            </a:rPr>
            <a:t>Sales vary widely (Std. Dev ≈ ₹1.15L), showing a mix of small and large orders</a:t>
          </a:r>
          <a:r>
            <a:rPr lang="en-US" sz="1600" b="0" i="1" u="none"/>
            <a:t>.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50800</xdr:rowOff>
    </xdr:from>
    <xdr:to>
      <xdr:col>13</xdr:col>
      <xdr:colOff>88900</xdr:colOff>
      <xdr:row>16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</xdr:colOff>
      <xdr:row>19</xdr:row>
      <xdr:rowOff>25400</xdr:rowOff>
    </xdr:from>
    <xdr:to>
      <xdr:col>13</xdr:col>
      <xdr:colOff>76200</xdr:colOff>
      <xdr:row>34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4534</xdr:colOff>
      <xdr:row>36</xdr:row>
      <xdr:rowOff>20865</xdr:rowOff>
    </xdr:from>
    <xdr:to>
      <xdr:col>13</xdr:col>
      <xdr:colOff>6349</xdr:colOff>
      <xdr:row>52</xdr:row>
      <xdr:rowOff>28122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25400</xdr:colOff>
      <xdr:row>56</xdr:row>
      <xdr:rowOff>12700</xdr:rowOff>
    </xdr:from>
    <xdr:to>
      <xdr:col>12</xdr:col>
      <xdr:colOff>596900</xdr:colOff>
      <xdr:row>70</xdr:row>
      <xdr:rowOff>88900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342900</xdr:colOff>
      <xdr:row>5</xdr:row>
      <xdr:rowOff>57150</xdr:rowOff>
    </xdr:from>
    <xdr:ext cx="2146300" cy="843821"/>
    <xdr:sp macro="" textlink="">
      <xdr:nvSpPr>
        <xdr:cNvPr id="8" name="TextBox 7"/>
        <xdr:cNvSpPr txBox="1"/>
      </xdr:nvSpPr>
      <xdr:spPr>
        <a:xfrm>
          <a:off x="8953500" y="977900"/>
          <a:ext cx="2146300" cy="84382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200" b="1" i="1"/>
            <a:t>South region has the highest sales and profit, meaning it’s the strongest-performing market.</a:t>
          </a:r>
        </a:p>
      </xdr:txBody>
    </xdr:sp>
    <xdr:clientData/>
  </xdr:oneCellAnchor>
  <xdr:oneCellAnchor>
    <xdr:from>
      <xdr:col>13</xdr:col>
      <xdr:colOff>381000</xdr:colOff>
      <xdr:row>22</xdr:row>
      <xdr:rowOff>146050</xdr:rowOff>
    </xdr:from>
    <xdr:ext cx="2057400" cy="1031693"/>
    <xdr:sp macro="" textlink="">
      <xdr:nvSpPr>
        <xdr:cNvPr id="9" name="TextBox 8"/>
        <xdr:cNvSpPr txBox="1"/>
      </xdr:nvSpPr>
      <xdr:spPr>
        <a:xfrm>
          <a:off x="8991600" y="4197350"/>
          <a:ext cx="2057400" cy="103169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200" b="1" i="1"/>
            <a:t>“Sofa” and “Table” are among the top-selling products, while“Shoes” and "Bookshelf" have the lowest sales.</a:t>
          </a:r>
        </a:p>
      </xdr:txBody>
    </xdr:sp>
    <xdr:clientData/>
  </xdr:oneCellAnchor>
  <xdr:oneCellAnchor>
    <xdr:from>
      <xdr:col>13</xdr:col>
      <xdr:colOff>304800</xdr:colOff>
      <xdr:row>40</xdr:row>
      <xdr:rowOff>63500</xdr:rowOff>
    </xdr:from>
    <xdr:ext cx="2101850" cy="843821"/>
    <xdr:sp macro="" textlink="">
      <xdr:nvSpPr>
        <xdr:cNvPr id="10" name="TextBox 9"/>
        <xdr:cNvSpPr txBox="1"/>
      </xdr:nvSpPr>
      <xdr:spPr>
        <a:xfrm>
          <a:off x="8915400" y="7429500"/>
          <a:ext cx="2101850" cy="84382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200" b="1" i="1"/>
            <a:t>April,</a:t>
          </a:r>
          <a:r>
            <a:rPr lang="en-US" sz="1200" b="1" i="1" baseline="0"/>
            <a:t> </a:t>
          </a:r>
          <a:r>
            <a:rPr lang="en-US" sz="1200" b="1" i="1"/>
            <a:t>May and August have the highest sales. Whereas,</a:t>
          </a:r>
          <a:br>
            <a:rPr lang="en-US" sz="1200" b="1" i="1"/>
          </a:br>
          <a:r>
            <a:rPr lang="en-US" sz="1200" b="1" i="1"/>
            <a:t>November is the lowest month.</a:t>
          </a:r>
        </a:p>
      </xdr:txBody>
    </xdr:sp>
    <xdr:clientData/>
  </xdr:oneCellAnchor>
  <xdr:oneCellAnchor>
    <xdr:from>
      <xdr:col>13</xdr:col>
      <xdr:colOff>266700</xdr:colOff>
      <xdr:row>60</xdr:row>
      <xdr:rowOff>0</xdr:rowOff>
    </xdr:from>
    <xdr:ext cx="2159000" cy="843821"/>
    <xdr:sp macro="" textlink="">
      <xdr:nvSpPr>
        <xdr:cNvPr id="11" name="TextBox 10"/>
        <xdr:cNvSpPr txBox="1"/>
      </xdr:nvSpPr>
      <xdr:spPr>
        <a:xfrm>
          <a:off x="8877300" y="11049000"/>
          <a:ext cx="2159000" cy="84382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200" b="1" i="1"/>
            <a:t>As quantity increases, total profit rises — this indicates bulk orders contribute significantly to revenue.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4</xdr:row>
      <xdr:rowOff>82550</xdr:rowOff>
    </xdr:from>
    <xdr:to>
      <xdr:col>7</xdr:col>
      <xdr:colOff>57150</xdr:colOff>
      <xdr:row>15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3</xdr:row>
      <xdr:rowOff>44450</xdr:rowOff>
    </xdr:from>
    <xdr:to>
      <xdr:col>17</xdr:col>
      <xdr:colOff>590550</xdr:colOff>
      <xdr:row>16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23</xdr:row>
      <xdr:rowOff>6351</xdr:rowOff>
    </xdr:from>
    <xdr:to>
      <xdr:col>7</xdr:col>
      <xdr:colOff>203199</xdr:colOff>
      <xdr:row>34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25400</xdr:colOff>
      <xdr:row>22</xdr:row>
      <xdr:rowOff>171450</xdr:rowOff>
    </xdr:from>
    <xdr:to>
      <xdr:col>17</xdr:col>
      <xdr:colOff>127000</xdr:colOff>
      <xdr:row>34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546100</xdr:colOff>
      <xdr:row>17</xdr:row>
      <xdr:rowOff>95250</xdr:rowOff>
    </xdr:from>
    <xdr:ext cx="4008598" cy="311496"/>
    <xdr:sp macro="" textlink="">
      <xdr:nvSpPr>
        <xdr:cNvPr id="7" name="TextBox 6"/>
        <xdr:cNvSpPr txBox="1"/>
      </xdr:nvSpPr>
      <xdr:spPr>
        <a:xfrm>
          <a:off x="546100" y="3435350"/>
          <a:ext cx="4008598" cy="311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South region shows the highest revenue and profit.</a:t>
          </a:r>
        </a:p>
      </xdr:txBody>
    </xdr:sp>
    <xdr:clientData/>
  </xdr:oneCellAnchor>
  <xdr:oneCellAnchor>
    <xdr:from>
      <xdr:col>11</xdr:col>
      <xdr:colOff>57150</xdr:colOff>
      <xdr:row>17</xdr:row>
      <xdr:rowOff>82550</xdr:rowOff>
    </xdr:from>
    <xdr:ext cx="3793474" cy="311496"/>
    <xdr:sp macro="" textlink="">
      <xdr:nvSpPr>
        <xdr:cNvPr id="8" name="TextBox 7"/>
        <xdr:cNvSpPr txBox="1"/>
      </xdr:nvSpPr>
      <xdr:spPr>
        <a:xfrm>
          <a:off x="6762750" y="3422650"/>
          <a:ext cx="3793474" cy="311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Sofa and Table lead in sales; Shoes is the lowest.</a:t>
          </a:r>
        </a:p>
      </xdr:txBody>
    </xdr:sp>
    <xdr:clientData/>
  </xdr:oneCellAnchor>
  <xdr:oneCellAnchor>
    <xdr:from>
      <xdr:col>0</xdr:col>
      <xdr:colOff>558800</xdr:colOff>
      <xdr:row>36</xdr:row>
      <xdr:rowOff>82550</xdr:rowOff>
    </xdr:from>
    <xdr:ext cx="3845925" cy="483722"/>
    <xdr:sp macro="" textlink="">
      <xdr:nvSpPr>
        <xdr:cNvPr id="9" name="TextBox 8"/>
        <xdr:cNvSpPr txBox="1"/>
      </xdr:nvSpPr>
      <xdr:spPr>
        <a:xfrm>
          <a:off x="558800" y="6921500"/>
          <a:ext cx="3845925" cy="48372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/>
            <a:t>Sales peak in April and August; dip in September.</a:t>
          </a:r>
        </a:p>
        <a:p>
          <a:endParaRPr lang="en-US" sz="1100"/>
        </a:p>
      </xdr:txBody>
    </xdr:sp>
    <xdr:clientData/>
  </xdr:oneCellAnchor>
  <xdr:oneCellAnchor>
    <xdr:from>
      <xdr:col>11</xdr:col>
      <xdr:colOff>38100</xdr:colOff>
      <xdr:row>36</xdr:row>
      <xdr:rowOff>127000</xdr:rowOff>
    </xdr:from>
    <xdr:ext cx="3711850" cy="311496"/>
    <xdr:sp macro="" textlink="">
      <xdr:nvSpPr>
        <xdr:cNvPr id="10" name="TextBox 9"/>
        <xdr:cNvSpPr txBox="1"/>
      </xdr:nvSpPr>
      <xdr:spPr>
        <a:xfrm>
          <a:off x="6743700" y="6965950"/>
          <a:ext cx="3711850" cy="31149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Positive relation – more quantity, higher profit.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l" refreshedDate="45971.896715856485" createdVersion="3" refreshedVersion="3" minRefreshableVersion="3" recordCount="50">
  <cacheSource type="worksheet">
    <worksheetSource ref="A1:H51" sheet="Sales_Data"/>
  </cacheSource>
  <cacheFields count="8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4-01-01T00:00:00" maxDate="2024-12-26T00:00:00" count="42">
        <d v="2024-01-13T00:00:00"/>
        <d v="2024-02-14T00:00:00"/>
        <d v="2024-11-04T00:00:00"/>
        <d v="2024-08-02T00:00:00"/>
        <d v="2024-12-23T00:00:00"/>
        <d v="2024-02-17T00:00:00"/>
        <d v="2024-01-23T00:00:00"/>
        <d v="2024-10-09T00:00:00"/>
        <d v="2024-01-24T00:00:00"/>
        <d v="2024-05-22T00:00:00"/>
        <d v="2024-12-25T00:00:00"/>
        <d v="2024-03-24T00:00:00"/>
        <d v="2024-04-22T00:00:00"/>
        <d v="2024-05-17T00:00:00"/>
        <d v="2024-12-01T00:00:00"/>
        <d v="2024-05-06T00:00:00"/>
        <d v="2024-03-19T00:00:00"/>
        <d v="2024-08-27T00:00:00"/>
        <d v="2024-05-16T00:00:00"/>
        <d v="2024-05-14T00:00:00"/>
        <d v="2024-11-07T00:00:00"/>
        <d v="2024-01-01T00:00:00"/>
        <d v="2024-05-02T00:00:00"/>
        <d v="2024-02-05T00:00:00"/>
        <d v="2024-05-15T00:00:00"/>
        <d v="2024-06-08T00:00:00"/>
        <d v="2024-10-28T00:00:00"/>
        <d v="2024-02-04T00:00:00"/>
        <d v="2024-04-19T00:00:00"/>
        <d v="2024-04-07T00:00:00"/>
        <d v="2024-05-07T00:00:00"/>
        <d v="2024-01-26T00:00:00"/>
        <d v="2024-08-20T00:00:00"/>
        <d v="2024-03-20T00:00:00"/>
        <d v="2024-02-01T00:00:00"/>
        <d v="2024-03-21T00:00:00"/>
        <d v="2024-10-23T00:00:00"/>
        <d v="2024-09-24T00:00:00"/>
        <d v="2024-02-07T00:00:00"/>
        <d v="2024-10-02T00:00:00"/>
        <d v="2024-05-05T00:00:00"/>
        <d v="2024-11-09T00:00:00"/>
      </sharedItems>
      <fieldGroup base="1">
        <rangePr groupBy="months" startDate="2024-01-01T00:00:00" endDate="2024-12-2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4"/>
        </groupItems>
      </fieldGroup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15">
        <s v="Shirt"/>
        <s v="Camera"/>
        <s v="T-Shirt"/>
        <s v="Phone"/>
        <s v="Chair"/>
        <s v="Jacket"/>
        <s v="Printer"/>
        <s v="Headphones"/>
        <s v="Jeans"/>
        <s v="Desk"/>
        <s v="Table"/>
        <s v="Sofa"/>
        <s v="Laptop"/>
        <s v="Bookshelf"/>
        <s v="Shoes"/>
      </sharedItems>
    </cacheField>
    <cacheField name="Category" numFmtId="0">
      <sharedItems count="3">
        <s v="Clothing"/>
        <s v="Electronics"/>
        <s v="Furniture"/>
      </sharedItems>
    </cacheField>
    <cacheField name="Quantity" numFmtId="0">
      <sharedItems containsSemiMixedTypes="0" containsString="0" containsNumber="1" containsInteger="1" minValue="1" maxValue="10" count="10">
        <n v="4"/>
        <n v="1"/>
        <n v="9"/>
        <n v="8"/>
        <n v="6"/>
        <n v="2"/>
        <n v="10"/>
        <n v="5"/>
        <n v="7"/>
        <n v="3"/>
      </sharedItems>
    </cacheField>
    <cacheField name="Sales" numFmtId="0">
      <sharedItems containsSemiMixedTypes="0" containsString="0" containsNumber="1" containsInteger="1" minValue="3952" maxValue="436130"/>
    </cacheField>
    <cacheField name="Profit" numFmtId="0">
      <sharedItems containsSemiMixedTypes="0" containsString="0" containsNumber="1" containsInteger="1" minValue="271" maxValue="8531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x v="0"/>
    <x v="0"/>
    <x v="0"/>
    <x v="0"/>
    <x v="0"/>
    <n v="66512"/>
    <n v="5181"/>
  </r>
  <r>
    <n v="1002"/>
    <x v="1"/>
    <x v="1"/>
    <x v="1"/>
    <x v="1"/>
    <x v="1"/>
    <n v="3952"/>
    <n v="271"/>
  </r>
  <r>
    <n v="1003"/>
    <x v="2"/>
    <x v="2"/>
    <x v="1"/>
    <x v="1"/>
    <x v="2"/>
    <n v="135279"/>
    <n v="26136"/>
  </r>
  <r>
    <n v="1004"/>
    <x v="3"/>
    <x v="3"/>
    <x v="2"/>
    <x v="0"/>
    <x v="3"/>
    <n v="324944"/>
    <n v="34326"/>
  </r>
  <r>
    <n v="1005"/>
    <x v="4"/>
    <x v="1"/>
    <x v="3"/>
    <x v="1"/>
    <x v="4"/>
    <n v="121260"/>
    <n v="9833"/>
  </r>
  <r>
    <n v="1006"/>
    <x v="5"/>
    <x v="1"/>
    <x v="4"/>
    <x v="2"/>
    <x v="5"/>
    <n v="51052"/>
    <n v="11205"/>
  </r>
  <r>
    <n v="1007"/>
    <x v="6"/>
    <x v="1"/>
    <x v="5"/>
    <x v="0"/>
    <x v="2"/>
    <n v="91620"/>
    <n v="22412"/>
  </r>
  <r>
    <n v="1008"/>
    <x v="7"/>
    <x v="0"/>
    <x v="4"/>
    <x v="2"/>
    <x v="6"/>
    <n v="257000"/>
    <n v="42525"/>
  </r>
  <r>
    <n v="1009"/>
    <x v="8"/>
    <x v="3"/>
    <x v="0"/>
    <x v="0"/>
    <x v="7"/>
    <n v="36145"/>
    <n v="7990"/>
  </r>
  <r>
    <n v="1010"/>
    <x v="9"/>
    <x v="1"/>
    <x v="6"/>
    <x v="1"/>
    <x v="4"/>
    <n v="75954"/>
    <n v="9421"/>
  </r>
  <r>
    <n v="1011"/>
    <x v="10"/>
    <x v="2"/>
    <x v="7"/>
    <x v="1"/>
    <x v="6"/>
    <n v="436130"/>
    <n v="36734"/>
  </r>
  <r>
    <n v="1012"/>
    <x v="11"/>
    <x v="1"/>
    <x v="8"/>
    <x v="0"/>
    <x v="8"/>
    <n v="137837"/>
    <n v="34170"/>
  </r>
  <r>
    <n v="1013"/>
    <x v="12"/>
    <x v="0"/>
    <x v="2"/>
    <x v="0"/>
    <x v="1"/>
    <n v="17010"/>
    <n v="3646"/>
  </r>
  <r>
    <n v="1014"/>
    <x v="13"/>
    <x v="2"/>
    <x v="9"/>
    <x v="2"/>
    <x v="0"/>
    <n v="156680"/>
    <n v="35295"/>
  </r>
  <r>
    <n v="1015"/>
    <x v="14"/>
    <x v="1"/>
    <x v="10"/>
    <x v="2"/>
    <x v="8"/>
    <n v="308903"/>
    <n v="43793"/>
  </r>
  <r>
    <n v="1016"/>
    <x v="15"/>
    <x v="0"/>
    <x v="10"/>
    <x v="2"/>
    <x v="6"/>
    <n v="300770"/>
    <n v="69046"/>
  </r>
  <r>
    <n v="1017"/>
    <x v="12"/>
    <x v="3"/>
    <x v="11"/>
    <x v="2"/>
    <x v="2"/>
    <n v="309087"/>
    <n v="21074"/>
  </r>
  <r>
    <n v="1018"/>
    <x v="16"/>
    <x v="3"/>
    <x v="12"/>
    <x v="1"/>
    <x v="8"/>
    <n v="287602"/>
    <n v="18034"/>
  </r>
  <r>
    <n v="1019"/>
    <x v="17"/>
    <x v="0"/>
    <x v="13"/>
    <x v="2"/>
    <x v="2"/>
    <n v="24768"/>
    <n v="4608"/>
  </r>
  <r>
    <n v="1020"/>
    <x v="18"/>
    <x v="0"/>
    <x v="1"/>
    <x v="1"/>
    <x v="5"/>
    <n v="42468"/>
    <n v="5816"/>
  </r>
  <r>
    <n v="1021"/>
    <x v="19"/>
    <x v="3"/>
    <x v="4"/>
    <x v="2"/>
    <x v="2"/>
    <n v="80757"/>
    <n v="18097"/>
  </r>
  <r>
    <n v="1022"/>
    <x v="20"/>
    <x v="3"/>
    <x v="13"/>
    <x v="2"/>
    <x v="9"/>
    <n v="79512"/>
    <n v="16101"/>
  </r>
  <r>
    <n v="1023"/>
    <x v="21"/>
    <x v="0"/>
    <x v="2"/>
    <x v="0"/>
    <x v="3"/>
    <n v="26208"/>
    <n v="1896"/>
  </r>
  <r>
    <n v="1024"/>
    <x v="22"/>
    <x v="2"/>
    <x v="11"/>
    <x v="2"/>
    <x v="0"/>
    <n v="156728"/>
    <n v="37519"/>
  </r>
  <r>
    <n v="1025"/>
    <x v="23"/>
    <x v="3"/>
    <x v="6"/>
    <x v="1"/>
    <x v="9"/>
    <n v="135711"/>
    <n v="19685"/>
  </r>
  <r>
    <n v="1026"/>
    <x v="24"/>
    <x v="1"/>
    <x v="8"/>
    <x v="0"/>
    <x v="0"/>
    <n v="149372"/>
    <n v="30031"/>
  </r>
  <r>
    <n v="1027"/>
    <x v="25"/>
    <x v="1"/>
    <x v="8"/>
    <x v="0"/>
    <x v="4"/>
    <n v="184266"/>
    <n v="42366"/>
  </r>
  <r>
    <n v="1028"/>
    <x v="15"/>
    <x v="3"/>
    <x v="4"/>
    <x v="2"/>
    <x v="5"/>
    <n v="48312"/>
    <n v="2618"/>
  </r>
  <r>
    <n v="1029"/>
    <x v="26"/>
    <x v="3"/>
    <x v="8"/>
    <x v="0"/>
    <x v="1"/>
    <n v="6652"/>
    <n v="1274"/>
  </r>
  <r>
    <n v="1030"/>
    <x v="27"/>
    <x v="2"/>
    <x v="3"/>
    <x v="1"/>
    <x v="4"/>
    <n v="39858"/>
    <n v="6091"/>
  </r>
  <r>
    <n v="1031"/>
    <x v="28"/>
    <x v="3"/>
    <x v="9"/>
    <x v="2"/>
    <x v="6"/>
    <n v="397620"/>
    <n v="57469"/>
  </r>
  <r>
    <n v="1032"/>
    <x v="29"/>
    <x v="2"/>
    <x v="9"/>
    <x v="2"/>
    <x v="5"/>
    <n v="90374"/>
    <n v="12309"/>
  </r>
  <r>
    <n v="1033"/>
    <x v="17"/>
    <x v="2"/>
    <x v="9"/>
    <x v="2"/>
    <x v="5"/>
    <n v="11944"/>
    <n v="1558"/>
  </r>
  <r>
    <n v="1034"/>
    <x v="30"/>
    <x v="3"/>
    <x v="4"/>
    <x v="2"/>
    <x v="0"/>
    <n v="148584"/>
    <n v="20760"/>
  </r>
  <r>
    <n v="1035"/>
    <x v="9"/>
    <x v="1"/>
    <x v="10"/>
    <x v="2"/>
    <x v="0"/>
    <n v="27760"/>
    <n v="3848"/>
  </r>
  <r>
    <n v="1036"/>
    <x v="31"/>
    <x v="2"/>
    <x v="0"/>
    <x v="0"/>
    <x v="5"/>
    <n v="34982"/>
    <n v="2912"/>
  </r>
  <r>
    <n v="1037"/>
    <x v="28"/>
    <x v="1"/>
    <x v="9"/>
    <x v="2"/>
    <x v="1"/>
    <n v="12789"/>
    <n v="1608"/>
  </r>
  <r>
    <n v="1038"/>
    <x v="32"/>
    <x v="0"/>
    <x v="11"/>
    <x v="2"/>
    <x v="8"/>
    <n v="333557"/>
    <n v="80541"/>
  </r>
  <r>
    <n v="1039"/>
    <x v="33"/>
    <x v="3"/>
    <x v="14"/>
    <x v="0"/>
    <x v="7"/>
    <n v="81335"/>
    <n v="19824"/>
  </r>
  <r>
    <n v="1040"/>
    <x v="34"/>
    <x v="0"/>
    <x v="2"/>
    <x v="0"/>
    <x v="1"/>
    <n v="5286"/>
    <n v="881"/>
  </r>
  <r>
    <n v="1041"/>
    <x v="35"/>
    <x v="2"/>
    <x v="2"/>
    <x v="0"/>
    <x v="2"/>
    <n v="65250"/>
    <n v="14372"/>
  </r>
  <r>
    <n v="1042"/>
    <x v="27"/>
    <x v="3"/>
    <x v="1"/>
    <x v="1"/>
    <x v="8"/>
    <n v="68992"/>
    <n v="16442"/>
  </r>
  <r>
    <n v="1043"/>
    <x v="36"/>
    <x v="2"/>
    <x v="8"/>
    <x v="0"/>
    <x v="6"/>
    <n v="73720"/>
    <n v="9867"/>
  </r>
  <r>
    <n v="1044"/>
    <x v="37"/>
    <x v="0"/>
    <x v="2"/>
    <x v="0"/>
    <x v="7"/>
    <n v="76930"/>
    <n v="14150"/>
  </r>
  <r>
    <n v="1045"/>
    <x v="24"/>
    <x v="1"/>
    <x v="10"/>
    <x v="2"/>
    <x v="9"/>
    <n v="138057"/>
    <n v="24726"/>
  </r>
  <r>
    <n v="1046"/>
    <x v="38"/>
    <x v="2"/>
    <x v="11"/>
    <x v="2"/>
    <x v="3"/>
    <n v="341664"/>
    <n v="85310"/>
  </r>
  <r>
    <n v="1047"/>
    <x v="39"/>
    <x v="3"/>
    <x v="12"/>
    <x v="1"/>
    <x v="2"/>
    <n v="174420"/>
    <n v="13341"/>
  </r>
  <r>
    <n v="1048"/>
    <x v="40"/>
    <x v="0"/>
    <x v="4"/>
    <x v="2"/>
    <x v="7"/>
    <n v="61690"/>
    <n v="8490"/>
  </r>
  <r>
    <n v="1049"/>
    <x v="41"/>
    <x v="2"/>
    <x v="5"/>
    <x v="0"/>
    <x v="2"/>
    <n v="194580"/>
    <n v="45989"/>
  </r>
  <r>
    <n v="1050"/>
    <x v="24"/>
    <x v="2"/>
    <x v="3"/>
    <x v="1"/>
    <x v="5"/>
    <n v="76512"/>
    <n v="62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6:C12" firstHeaderRow="1" firstDataRow="2" firstDataCol="1"/>
  <pivotFields count="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59:B70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11">
        <item x="1"/>
        <item x="5"/>
        <item x="9"/>
        <item x="0"/>
        <item x="7"/>
        <item x="4"/>
        <item x="8"/>
        <item x="3"/>
        <item x="2"/>
        <item x="6"/>
        <item t="default"/>
      </items>
    </pivotField>
    <pivotField showAll="0"/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9:B51" firstHeaderRow="1" firstDataRow="1" firstDataCol="1"/>
  <pivotFields count="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20:B36" firstHeaderRow="1" firstDataRow="1" firstDataCol="1"/>
  <pivotFields count="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6">
        <item x="13"/>
        <item x="1"/>
        <item x="4"/>
        <item x="9"/>
        <item x="7"/>
        <item x="5"/>
        <item x="8"/>
        <item x="12"/>
        <item x="3"/>
        <item x="6"/>
        <item x="0"/>
        <item x="14"/>
        <item x="11"/>
        <item x="1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E6:G10" totalsRowShown="0" headerRowDxfId="10" dataDxfId="9">
  <autoFilter ref="E6:G10"/>
  <tableColumns count="3">
    <tableColumn id="1" name="Issue Checked" dataDxfId="8"/>
    <tableColumn id="2" name="Action Taken" dataDxfId="7"/>
    <tableColumn id="3" name="Result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E16:H22" totalsRowShown="0" headerRowDxfId="5" dataDxfId="4">
  <autoFilter ref="E16:H22"/>
  <tableColumns count="4">
    <tableColumn id="1" name="Metrix" dataDxfId="3"/>
    <tableColumn id="2" name="Sales" dataDxfId="2">
      <calculatedColumnFormula>SUM(Sales_Data!G2:G51)</calculatedColumnFormula>
    </tableColumn>
    <tableColumn id="3" name="Profit" dataDxfId="1"/>
    <tableColumn id="4" name="Quant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selection activeCell="F10" sqref="F10"/>
    </sheetView>
  </sheetViews>
  <sheetFormatPr defaultRowHeight="14.5"/>
  <cols>
    <col min="2" max="2" width="10.81640625" bestFit="1" customWidth="1"/>
    <col min="5" max="5" width="10.36328125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1001</v>
      </c>
      <c r="B2" s="5">
        <v>45304</v>
      </c>
      <c r="C2" s="6" t="s">
        <v>8</v>
      </c>
      <c r="D2" s="6" t="s">
        <v>9</v>
      </c>
      <c r="E2" s="6" t="s">
        <v>10</v>
      </c>
      <c r="F2" s="6">
        <v>4</v>
      </c>
      <c r="G2" s="6">
        <v>66512</v>
      </c>
      <c r="H2" s="6">
        <v>5181</v>
      </c>
    </row>
    <row r="3" spans="1:8">
      <c r="A3" s="4">
        <v>1002</v>
      </c>
      <c r="B3" s="5">
        <v>45336</v>
      </c>
      <c r="C3" s="6" t="s">
        <v>11</v>
      </c>
      <c r="D3" s="6" t="s">
        <v>12</v>
      </c>
      <c r="E3" s="6" t="s">
        <v>13</v>
      </c>
      <c r="F3" s="6">
        <v>1</v>
      </c>
      <c r="G3" s="6">
        <v>3952</v>
      </c>
      <c r="H3" s="6">
        <v>271</v>
      </c>
    </row>
    <row r="4" spans="1:8">
      <c r="A4" s="4">
        <v>1003</v>
      </c>
      <c r="B4" s="5">
        <v>45600</v>
      </c>
      <c r="C4" s="6" t="s">
        <v>14</v>
      </c>
      <c r="D4" s="6" t="s">
        <v>12</v>
      </c>
      <c r="E4" s="6" t="s">
        <v>13</v>
      </c>
      <c r="F4" s="6">
        <v>9</v>
      </c>
      <c r="G4" s="6">
        <v>135279</v>
      </c>
      <c r="H4" s="6">
        <v>26136</v>
      </c>
    </row>
    <row r="5" spans="1:8">
      <c r="A5" s="4">
        <v>1004</v>
      </c>
      <c r="B5" s="5">
        <v>45506</v>
      </c>
      <c r="C5" s="6" t="s">
        <v>15</v>
      </c>
      <c r="D5" s="6" t="s">
        <v>16</v>
      </c>
      <c r="E5" s="6" t="s">
        <v>10</v>
      </c>
      <c r="F5" s="6">
        <v>8</v>
      </c>
      <c r="G5" s="6">
        <v>324944</v>
      </c>
      <c r="H5" s="6">
        <v>34326</v>
      </c>
    </row>
    <row r="6" spans="1:8">
      <c r="A6" s="4">
        <v>1005</v>
      </c>
      <c r="B6" s="5">
        <v>45649</v>
      </c>
      <c r="C6" s="6" t="s">
        <v>11</v>
      </c>
      <c r="D6" s="6" t="s">
        <v>17</v>
      </c>
      <c r="E6" s="6" t="s">
        <v>13</v>
      </c>
      <c r="F6" s="6">
        <v>6</v>
      </c>
      <c r="G6" s="6">
        <v>121260</v>
      </c>
      <c r="H6" s="6">
        <v>9833</v>
      </c>
    </row>
    <row r="7" spans="1:8">
      <c r="A7" s="4">
        <v>1006</v>
      </c>
      <c r="B7" s="5">
        <v>45339</v>
      </c>
      <c r="C7" s="6" t="s">
        <v>11</v>
      </c>
      <c r="D7" s="6" t="s">
        <v>18</v>
      </c>
      <c r="E7" s="6" t="s">
        <v>19</v>
      </c>
      <c r="F7" s="6">
        <v>2</v>
      </c>
      <c r="G7" s="6">
        <v>51052</v>
      </c>
      <c r="H7" s="6">
        <v>11205</v>
      </c>
    </row>
    <row r="8" spans="1:8">
      <c r="A8" s="4">
        <v>1007</v>
      </c>
      <c r="B8" s="5">
        <v>45314</v>
      </c>
      <c r="C8" s="6" t="s">
        <v>11</v>
      </c>
      <c r="D8" s="6" t="s">
        <v>20</v>
      </c>
      <c r="E8" s="6" t="s">
        <v>10</v>
      </c>
      <c r="F8" s="6">
        <v>9</v>
      </c>
      <c r="G8" s="6">
        <v>91620</v>
      </c>
      <c r="H8" s="6">
        <v>22412</v>
      </c>
    </row>
    <row r="9" spans="1:8">
      <c r="A9" s="4">
        <v>1008</v>
      </c>
      <c r="B9" s="5">
        <v>45574</v>
      </c>
      <c r="C9" s="6" t="s">
        <v>8</v>
      </c>
      <c r="D9" s="6" t="s">
        <v>18</v>
      </c>
      <c r="E9" s="6" t="s">
        <v>19</v>
      </c>
      <c r="F9" s="6">
        <v>10</v>
      </c>
      <c r="G9" s="6">
        <v>257000</v>
      </c>
      <c r="H9" s="6">
        <v>42525</v>
      </c>
    </row>
    <row r="10" spans="1:8">
      <c r="A10" s="4">
        <v>1009</v>
      </c>
      <c r="B10" s="5">
        <v>45315</v>
      </c>
      <c r="C10" s="6" t="s">
        <v>15</v>
      </c>
      <c r="D10" s="6" t="s">
        <v>9</v>
      </c>
      <c r="E10" s="6" t="s">
        <v>10</v>
      </c>
      <c r="F10" s="6">
        <v>5</v>
      </c>
      <c r="G10" s="6">
        <v>36145</v>
      </c>
      <c r="H10" s="6">
        <v>7990</v>
      </c>
    </row>
    <row r="11" spans="1:8">
      <c r="A11" s="4">
        <v>1010</v>
      </c>
      <c r="B11" s="5">
        <v>45434</v>
      </c>
      <c r="C11" s="6" t="s">
        <v>11</v>
      </c>
      <c r="D11" s="6" t="s">
        <v>21</v>
      </c>
      <c r="E11" s="6" t="s">
        <v>13</v>
      </c>
      <c r="F11" s="6">
        <v>6</v>
      </c>
      <c r="G11" s="6">
        <v>75954</v>
      </c>
      <c r="H11" s="6">
        <v>9421</v>
      </c>
    </row>
    <row r="12" spans="1:8">
      <c r="A12" s="4">
        <v>1011</v>
      </c>
      <c r="B12" s="5">
        <v>45651</v>
      </c>
      <c r="C12" s="6" t="s">
        <v>14</v>
      </c>
      <c r="D12" s="6" t="s">
        <v>22</v>
      </c>
      <c r="E12" s="6" t="s">
        <v>13</v>
      </c>
      <c r="F12" s="6">
        <v>10</v>
      </c>
      <c r="G12" s="6">
        <v>436130</v>
      </c>
      <c r="H12" s="6">
        <v>36734</v>
      </c>
    </row>
    <row r="13" spans="1:8">
      <c r="A13" s="4">
        <v>1012</v>
      </c>
      <c r="B13" s="5">
        <v>45375</v>
      </c>
      <c r="C13" s="6" t="s">
        <v>11</v>
      </c>
      <c r="D13" s="6" t="s">
        <v>23</v>
      </c>
      <c r="E13" s="6" t="s">
        <v>10</v>
      </c>
      <c r="F13" s="6">
        <v>7</v>
      </c>
      <c r="G13" s="6">
        <v>137837</v>
      </c>
      <c r="H13" s="6">
        <v>34170</v>
      </c>
    </row>
    <row r="14" spans="1:8">
      <c r="A14" s="4">
        <v>1013</v>
      </c>
      <c r="B14" s="5">
        <v>45404</v>
      </c>
      <c r="C14" s="6" t="s">
        <v>8</v>
      </c>
      <c r="D14" s="6" t="s">
        <v>16</v>
      </c>
      <c r="E14" s="6" t="s">
        <v>10</v>
      </c>
      <c r="F14" s="6">
        <v>1</v>
      </c>
      <c r="G14" s="6">
        <v>17010</v>
      </c>
      <c r="H14" s="6">
        <v>3646</v>
      </c>
    </row>
    <row r="15" spans="1:8">
      <c r="A15" s="4">
        <v>1014</v>
      </c>
      <c r="B15" s="5">
        <v>45429</v>
      </c>
      <c r="C15" s="6" t="s">
        <v>14</v>
      </c>
      <c r="D15" s="6" t="s">
        <v>24</v>
      </c>
      <c r="E15" s="6" t="s">
        <v>19</v>
      </c>
      <c r="F15" s="6">
        <v>4</v>
      </c>
      <c r="G15" s="6">
        <v>156680</v>
      </c>
      <c r="H15" s="6">
        <v>35295</v>
      </c>
    </row>
    <row r="16" spans="1:8">
      <c r="A16" s="4">
        <v>1015</v>
      </c>
      <c r="B16" s="5">
        <v>45627</v>
      </c>
      <c r="C16" s="6" t="s">
        <v>11</v>
      </c>
      <c r="D16" s="6" t="s">
        <v>25</v>
      </c>
      <c r="E16" s="6" t="s">
        <v>19</v>
      </c>
      <c r="F16" s="6">
        <v>7</v>
      </c>
      <c r="G16" s="6">
        <v>308903</v>
      </c>
      <c r="H16" s="6">
        <v>43793</v>
      </c>
    </row>
    <row r="17" spans="1:8">
      <c r="A17" s="4">
        <v>1016</v>
      </c>
      <c r="B17" s="5">
        <v>45418</v>
      </c>
      <c r="C17" s="6" t="s">
        <v>8</v>
      </c>
      <c r="D17" s="6" t="s">
        <v>25</v>
      </c>
      <c r="E17" s="6" t="s">
        <v>19</v>
      </c>
      <c r="F17" s="6">
        <v>10</v>
      </c>
      <c r="G17" s="6">
        <v>300770</v>
      </c>
      <c r="H17" s="6">
        <v>69046</v>
      </c>
    </row>
    <row r="18" spans="1:8">
      <c r="A18" s="4">
        <v>1017</v>
      </c>
      <c r="B18" s="5">
        <v>45404</v>
      </c>
      <c r="C18" s="6" t="s">
        <v>15</v>
      </c>
      <c r="D18" s="6" t="s">
        <v>26</v>
      </c>
      <c r="E18" s="6" t="s">
        <v>19</v>
      </c>
      <c r="F18" s="6">
        <v>9</v>
      </c>
      <c r="G18" s="6">
        <v>309087</v>
      </c>
      <c r="H18" s="6">
        <v>21074</v>
      </c>
    </row>
    <row r="19" spans="1:8">
      <c r="A19" s="4">
        <v>1018</v>
      </c>
      <c r="B19" s="5">
        <v>45370</v>
      </c>
      <c r="C19" s="6" t="s">
        <v>15</v>
      </c>
      <c r="D19" s="6" t="s">
        <v>27</v>
      </c>
      <c r="E19" s="6" t="s">
        <v>13</v>
      </c>
      <c r="F19" s="6">
        <v>7</v>
      </c>
      <c r="G19" s="6">
        <v>287602</v>
      </c>
      <c r="H19" s="6">
        <v>18034</v>
      </c>
    </row>
    <row r="20" spans="1:8">
      <c r="A20" s="4">
        <v>1019</v>
      </c>
      <c r="B20" s="5">
        <v>45531</v>
      </c>
      <c r="C20" s="6" t="s">
        <v>8</v>
      </c>
      <c r="D20" s="6" t="s">
        <v>28</v>
      </c>
      <c r="E20" s="6" t="s">
        <v>19</v>
      </c>
      <c r="F20" s="6">
        <v>9</v>
      </c>
      <c r="G20" s="6">
        <v>24768</v>
      </c>
      <c r="H20" s="6">
        <v>4608</v>
      </c>
    </row>
    <row r="21" spans="1:8">
      <c r="A21" s="4">
        <v>1020</v>
      </c>
      <c r="B21" s="5">
        <v>45428</v>
      </c>
      <c r="C21" s="6" t="s">
        <v>8</v>
      </c>
      <c r="D21" s="6" t="s">
        <v>12</v>
      </c>
      <c r="E21" s="6" t="s">
        <v>13</v>
      </c>
      <c r="F21" s="6">
        <v>2</v>
      </c>
      <c r="G21" s="6">
        <v>42468</v>
      </c>
      <c r="H21" s="6">
        <v>5816</v>
      </c>
    </row>
    <row r="22" spans="1:8">
      <c r="A22" s="4">
        <v>1021</v>
      </c>
      <c r="B22" s="5">
        <v>45426</v>
      </c>
      <c r="C22" s="6" t="s">
        <v>15</v>
      </c>
      <c r="D22" s="6" t="s">
        <v>18</v>
      </c>
      <c r="E22" s="6" t="s">
        <v>19</v>
      </c>
      <c r="F22" s="6">
        <v>9</v>
      </c>
      <c r="G22" s="6">
        <v>80757</v>
      </c>
      <c r="H22" s="6">
        <v>18097</v>
      </c>
    </row>
    <row r="23" spans="1:8">
      <c r="A23" s="4">
        <v>1022</v>
      </c>
      <c r="B23" s="5">
        <v>45603</v>
      </c>
      <c r="C23" s="6" t="s">
        <v>15</v>
      </c>
      <c r="D23" s="6" t="s">
        <v>28</v>
      </c>
      <c r="E23" s="6" t="s">
        <v>19</v>
      </c>
      <c r="F23" s="6">
        <v>3</v>
      </c>
      <c r="G23" s="6">
        <v>79512</v>
      </c>
      <c r="H23" s="6">
        <v>16101</v>
      </c>
    </row>
    <row r="24" spans="1:8">
      <c r="A24" s="4">
        <v>1023</v>
      </c>
      <c r="B24" s="5">
        <v>45292</v>
      </c>
      <c r="C24" s="6" t="s">
        <v>8</v>
      </c>
      <c r="D24" s="6" t="s">
        <v>16</v>
      </c>
      <c r="E24" s="6" t="s">
        <v>10</v>
      </c>
      <c r="F24" s="6">
        <v>8</v>
      </c>
      <c r="G24" s="6">
        <v>26208</v>
      </c>
      <c r="H24" s="6">
        <v>1896</v>
      </c>
    </row>
    <row r="25" spans="1:8">
      <c r="A25" s="4">
        <v>1024</v>
      </c>
      <c r="B25" s="5">
        <v>45414</v>
      </c>
      <c r="C25" s="6" t="s">
        <v>14</v>
      </c>
      <c r="D25" s="6" t="s">
        <v>26</v>
      </c>
      <c r="E25" s="6" t="s">
        <v>19</v>
      </c>
      <c r="F25" s="6">
        <v>4</v>
      </c>
      <c r="G25" s="6">
        <v>156728</v>
      </c>
      <c r="H25" s="6">
        <v>37519</v>
      </c>
    </row>
    <row r="26" spans="1:8">
      <c r="A26" s="4">
        <v>1025</v>
      </c>
      <c r="B26" s="5">
        <v>45327</v>
      </c>
      <c r="C26" s="6" t="s">
        <v>15</v>
      </c>
      <c r="D26" s="6" t="s">
        <v>21</v>
      </c>
      <c r="E26" s="6" t="s">
        <v>13</v>
      </c>
      <c r="F26" s="6">
        <v>3</v>
      </c>
      <c r="G26" s="6">
        <v>135711</v>
      </c>
      <c r="H26" s="6">
        <v>19685</v>
      </c>
    </row>
    <row r="27" spans="1:8">
      <c r="A27" s="4">
        <v>1026</v>
      </c>
      <c r="B27" s="5">
        <v>45427</v>
      </c>
      <c r="C27" s="6" t="s">
        <v>11</v>
      </c>
      <c r="D27" s="6" t="s">
        <v>23</v>
      </c>
      <c r="E27" s="6" t="s">
        <v>10</v>
      </c>
      <c r="F27" s="6">
        <v>4</v>
      </c>
      <c r="G27" s="6">
        <v>149372</v>
      </c>
      <c r="H27" s="6">
        <v>30031</v>
      </c>
    </row>
    <row r="28" spans="1:8">
      <c r="A28" s="4">
        <v>1027</v>
      </c>
      <c r="B28" s="5">
        <v>45451</v>
      </c>
      <c r="C28" s="6" t="s">
        <v>11</v>
      </c>
      <c r="D28" s="6" t="s">
        <v>23</v>
      </c>
      <c r="E28" s="6" t="s">
        <v>10</v>
      </c>
      <c r="F28" s="6">
        <v>6</v>
      </c>
      <c r="G28" s="6">
        <v>184266</v>
      </c>
      <c r="H28" s="6">
        <v>42366</v>
      </c>
    </row>
    <row r="29" spans="1:8">
      <c r="A29" s="4">
        <v>1028</v>
      </c>
      <c r="B29" s="5">
        <v>45418</v>
      </c>
      <c r="C29" s="6" t="s">
        <v>15</v>
      </c>
      <c r="D29" s="6" t="s">
        <v>18</v>
      </c>
      <c r="E29" s="6" t="s">
        <v>19</v>
      </c>
      <c r="F29" s="6">
        <v>2</v>
      </c>
      <c r="G29" s="6">
        <v>48312</v>
      </c>
      <c r="H29" s="6">
        <v>2618</v>
      </c>
    </row>
    <row r="30" spans="1:8">
      <c r="A30" s="4">
        <v>1029</v>
      </c>
      <c r="B30" s="5">
        <v>45593</v>
      </c>
      <c r="C30" s="6" t="s">
        <v>15</v>
      </c>
      <c r="D30" s="6" t="s">
        <v>23</v>
      </c>
      <c r="E30" s="6" t="s">
        <v>10</v>
      </c>
      <c r="F30" s="6">
        <v>1</v>
      </c>
      <c r="G30" s="6">
        <v>6652</v>
      </c>
      <c r="H30" s="6">
        <v>1274</v>
      </c>
    </row>
    <row r="31" spans="1:8">
      <c r="A31" s="4">
        <v>1030</v>
      </c>
      <c r="B31" s="5">
        <v>45326</v>
      </c>
      <c r="C31" s="6" t="s">
        <v>14</v>
      </c>
      <c r="D31" s="6" t="s">
        <v>17</v>
      </c>
      <c r="E31" s="6" t="s">
        <v>13</v>
      </c>
      <c r="F31" s="6">
        <v>6</v>
      </c>
      <c r="G31" s="6">
        <v>39858</v>
      </c>
      <c r="H31" s="6">
        <v>6091</v>
      </c>
    </row>
    <row r="32" spans="1:8">
      <c r="A32" s="4">
        <v>1031</v>
      </c>
      <c r="B32" s="5">
        <v>45401</v>
      </c>
      <c r="C32" s="6" t="s">
        <v>15</v>
      </c>
      <c r="D32" s="6" t="s">
        <v>24</v>
      </c>
      <c r="E32" s="6" t="s">
        <v>19</v>
      </c>
      <c r="F32" s="6">
        <v>10</v>
      </c>
      <c r="G32" s="6">
        <v>397620</v>
      </c>
      <c r="H32" s="6">
        <v>57469</v>
      </c>
    </row>
    <row r="33" spans="1:8">
      <c r="A33" s="4">
        <v>1032</v>
      </c>
      <c r="B33" s="5">
        <v>45389</v>
      </c>
      <c r="C33" s="6" t="s">
        <v>14</v>
      </c>
      <c r="D33" s="6" t="s">
        <v>24</v>
      </c>
      <c r="E33" s="6" t="s">
        <v>19</v>
      </c>
      <c r="F33" s="6">
        <v>2</v>
      </c>
      <c r="G33" s="6">
        <v>90374</v>
      </c>
      <c r="H33" s="6">
        <v>12309</v>
      </c>
    </row>
    <row r="34" spans="1:8">
      <c r="A34" s="4">
        <v>1033</v>
      </c>
      <c r="B34" s="5">
        <v>45531</v>
      </c>
      <c r="C34" s="6" t="s">
        <v>14</v>
      </c>
      <c r="D34" s="6" t="s">
        <v>24</v>
      </c>
      <c r="E34" s="6" t="s">
        <v>19</v>
      </c>
      <c r="F34" s="6">
        <v>2</v>
      </c>
      <c r="G34" s="6">
        <v>11944</v>
      </c>
      <c r="H34" s="6">
        <v>1558</v>
      </c>
    </row>
    <row r="35" spans="1:8">
      <c r="A35" s="4">
        <v>1034</v>
      </c>
      <c r="B35" s="5">
        <v>45419</v>
      </c>
      <c r="C35" s="6" t="s">
        <v>15</v>
      </c>
      <c r="D35" s="6" t="s">
        <v>18</v>
      </c>
      <c r="E35" s="6" t="s">
        <v>19</v>
      </c>
      <c r="F35" s="6">
        <v>4</v>
      </c>
      <c r="G35" s="6">
        <v>148584</v>
      </c>
      <c r="H35" s="6">
        <v>20760</v>
      </c>
    </row>
    <row r="36" spans="1:8">
      <c r="A36" s="4">
        <v>1035</v>
      </c>
      <c r="B36" s="5">
        <v>45434</v>
      </c>
      <c r="C36" s="6" t="s">
        <v>11</v>
      </c>
      <c r="D36" s="6" t="s">
        <v>25</v>
      </c>
      <c r="E36" s="6" t="s">
        <v>19</v>
      </c>
      <c r="F36" s="6">
        <v>4</v>
      </c>
      <c r="G36" s="6">
        <v>27760</v>
      </c>
      <c r="H36" s="6">
        <v>3848</v>
      </c>
    </row>
    <row r="37" spans="1:8">
      <c r="A37" s="4">
        <v>1036</v>
      </c>
      <c r="B37" s="5">
        <v>45317</v>
      </c>
      <c r="C37" s="6" t="s">
        <v>14</v>
      </c>
      <c r="D37" s="6" t="s">
        <v>9</v>
      </c>
      <c r="E37" s="6" t="s">
        <v>10</v>
      </c>
      <c r="F37" s="6">
        <v>2</v>
      </c>
      <c r="G37" s="6">
        <v>34982</v>
      </c>
      <c r="H37" s="6">
        <v>2912</v>
      </c>
    </row>
    <row r="38" spans="1:8">
      <c r="A38" s="4">
        <v>1037</v>
      </c>
      <c r="B38" s="5">
        <v>45401</v>
      </c>
      <c r="C38" s="6" t="s">
        <v>11</v>
      </c>
      <c r="D38" s="6" t="s">
        <v>24</v>
      </c>
      <c r="E38" s="6" t="s">
        <v>19</v>
      </c>
      <c r="F38" s="6">
        <v>1</v>
      </c>
      <c r="G38" s="6">
        <v>12789</v>
      </c>
      <c r="H38" s="6">
        <v>1608</v>
      </c>
    </row>
    <row r="39" spans="1:8">
      <c r="A39" s="4">
        <v>1038</v>
      </c>
      <c r="B39" s="5">
        <v>45524</v>
      </c>
      <c r="C39" s="6" t="s">
        <v>8</v>
      </c>
      <c r="D39" s="6" t="s">
        <v>26</v>
      </c>
      <c r="E39" s="6" t="s">
        <v>19</v>
      </c>
      <c r="F39" s="6">
        <v>7</v>
      </c>
      <c r="G39" s="6">
        <v>333557</v>
      </c>
      <c r="H39" s="6">
        <v>80541</v>
      </c>
    </row>
    <row r="40" spans="1:8">
      <c r="A40" s="4">
        <v>1039</v>
      </c>
      <c r="B40" s="5">
        <v>45371</v>
      </c>
      <c r="C40" s="6" t="s">
        <v>15</v>
      </c>
      <c r="D40" s="6" t="s">
        <v>29</v>
      </c>
      <c r="E40" s="6" t="s">
        <v>10</v>
      </c>
      <c r="F40" s="6">
        <v>5</v>
      </c>
      <c r="G40" s="6">
        <v>81335</v>
      </c>
      <c r="H40" s="6">
        <v>19824</v>
      </c>
    </row>
    <row r="41" spans="1:8">
      <c r="A41" s="4">
        <v>1040</v>
      </c>
      <c r="B41" s="5">
        <v>45323</v>
      </c>
      <c r="C41" s="6" t="s">
        <v>8</v>
      </c>
      <c r="D41" s="6" t="s">
        <v>16</v>
      </c>
      <c r="E41" s="6" t="s">
        <v>10</v>
      </c>
      <c r="F41" s="6">
        <v>1</v>
      </c>
      <c r="G41" s="6">
        <v>5286</v>
      </c>
      <c r="H41" s="6">
        <v>881</v>
      </c>
    </row>
    <row r="42" spans="1:8">
      <c r="A42" s="4">
        <v>1041</v>
      </c>
      <c r="B42" s="5">
        <v>45372</v>
      </c>
      <c r="C42" s="6" t="s">
        <v>14</v>
      </c>
      <c r="D42" s="6" t="s">
        <v>16</v>
      </c>
      <c r="E42" s="6" t="s">
        <v>10</v>
      </c>
      <c r="F42" s="6">
        <v>9</v>
      </c>
      <c r="G42" s="6">
        <v>65250</v>
      </c>
      <c r="H42" s="6">
        <v>14372</v>
      </c>
    </row>
    <row r="43" spans="1:8">
      <c r="A43" s="4">
        <v>1042</v>
      </c>
      <c r="B43" s="5">
        <v>45326</v>
      </c>
      <c r="C43" s="6" t="s">
        <v>15</v>
      </c>
      <c r="D43" s="6" t="s">
        <v>12</v>
      </c>
      <c r="E43" s="6" t="s">
        <v>13</v>
      </c>
      <c r="F43" s="6">
        <v>7</v>
      </c>
      <c r="G43" s="6">
        <v>68992</v>
      </c>
      <c r="H43" s="6">
        <v>16442</v>
      </c>
    </row>
    <row r="44" spans="1:8">
      <c r="A44" s="4">
        <v>1043</v>
      </c>
      <c r="B44" s="5">
        <v>45588</v>
      </c>
      <c r="C44" s="6" t="s">
        <v>14</v>
      </c>
      <c r="D44" s="6" t="s">
        <v>23</v>
      </c>
      <c r="E44" s="6" t="s">
        <v>10</v>
      </c>
      <c r="F44" s="6">
        <v>10</v>
      </c>
      <c r="G44" s="6">
        <v>73720</v>
      </c>
      <c r="H44" s="6">
        <v>9867</v>
      </c>
    </row>
    <row r="45" spans="1:8">
      <c r="A45" s="4">
        <v>1044</v>
      </c>
      <c r="B45" s="5">
        <v>45559</v>
      </c>
      <c r="C45" s="6" t="s">
        <v>8</v>
      </c>
      <c r="D45" s="6" t="s">
        <v>16</v>
      </c>
      <c r="E45" s="6" t="s">
        <v>10</v>
      </c>
      <c r="F45" s="6">
        <v>5</v>
      </c>
      <c r="G45" s="6">
        <v>76930</v>
      </c>
      <c r="H45" s="6">
        <v>14150</v>
      </c>
    </row>
    <row r="46" spans="1:8">
      <c r="A46" s="4">
        <v>1045</v>
      </c>
      <c r="B46" s="5">
        <v>45427</v>
      </c>
      <c r="C46" s="6" t="s">
        <v>11</v>
      </c>
      <c r="D46" s="6" t="s">
        <v>25</v>
      </c>
      <c r="E46" s="6" t="s">
        <v>19</v>
      </c>
      <c r="F46" s="6">
        <v>3</v>
      </c>
      <c r="G46" s="6">
        <v>138057</v>
      </c>
      <c r="H46" s="6">
        <v>24726</v>
      </c>
    </row>
    <row r="47" spans="1:8">
      <c r="A47" s="4">
        <v>1046</v>
      </c>
      <c r="B47" s="5">
        <v>45329</v>
      </c>
      <c r="C47" s="6" t="s">
        <v>14</v>
      </c>
      <c r="D47" s="6" t="s">
        <v>26</v>
      </c>
      <c r="E47" s="6" t="s">
        <v>19</v>
      </c>
      <c r="F47" s="6">
        <v>8</v>
      </c>
      <c r="G47" s="6">
        <v>341664</v>
      </c>
      <c r="H47" s="6">
        <v>85310</v>
      </c>
    </row>
    <row r="48" spans="1:8">
      <c r="A48" s="4">
        <v>1047</v>
      </c>
      <c r="B48" s="5">
        <v>45567</v>
      </c>
      <c r="C48" s="6" t="s">
        <v>15</v>
      </c>
      <c r="D48" s="6" t="s">
        <v>27</v>
      </c>
      <c r="E48" s="6" t="s">
        <v>13</v>
      </c>
      <c r="F48" s="6">
        <v>9</v>
      </c>
      <c r="G48" s="6">
        <v>174420</v>
      </c>
      <c r="H48" s="6">
        <v>13341</v>
      </c>
    </row>
    <row r="49" spans="1:8">
      <c r="A49" s="4">
        <v>1048</v>
      </c>
      <c r="B49" s="5">
        <v>45417</v>
      </c>
      <c r="C49" s="6" t="s">
        <v>8</v>
      </c>
      <c r="D49" s="6" t="s">
        <v>18</v>
      </c>
      <c r="E49" s="6" t="s">
        <v>19</v>
      </c>
      <c r="F49" s="6">
        <v>5</v>
      </c>
      <c r="G49" s="6">
        <v>61690</v>
      </c>
      <c r="H49" s="6">
        <v>8490</v>
      </c>
    </row>
    <row r="50" spans="1:8">
      <c r="A50" s="4">
        <v>1049</v>
      </c>
      <c r="B50" s="5">
        <v>45605</v>
      </c>
      <c r="C50" s="6" t="s">
        <v>14</v>
      </c>
      <c r="D50" s="6" t="s">
        <v>20</v>
      </c>
      <c r="E50" s="6" t="s">
        <v>10</v>
      </c>
      <c r="F50" s="6">
        <v>9</v>
      </c>
      <c r="G50" s="6">
        <v>194580</v>
      </c>
      <c r="H50" s="6">
        <v>45989</v>
      </c>
    </row>
    <row r="51" spans="1:8">
      <c r="A51" s="4">
        <v>1050</v>
      </c>
      <c r="B51" s="5">
        <v>45427</v>
      </c>
      <c r="C51" s="6" t="s">
        <v>14</v>
      </c>
      <c r="D51" s="6" t="s">
        <v>17</v>
      </c>
      <c r="E51" s="6" t="s">
        <v>13</v>
      </c>
      <c r="F51" s="6">
        <v>2</v>
      </c>
      <c r="G51" s="6">
        <v>76512</v>
      </c>
      <c r="H51" s="6">
        <v>6204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L6"/>
  <sheetViews>
    <sheetView workbookViewId="0">
      <selection activeCell="Q12" sqref="Q12"/>
    </sheetView>
  </sheetViews>
  <sheetFormatPr defaultRowHeight="14.5"/>
  <cols>
    <col min="5" max="5" width="8.7265625" customWidth="1"/>
  </cols>
  <sheetData>
    <row r="6" spans="12:12">
      <c r="L6" s="1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D4:H22"/>
  <sheetViews>
    <sheetView workbookViewId="0">
      <selection activeCell="D7" sqref="D7"/>
    </sheetView>
  </sheetViews>
  <sheetFormatPr defaultRowHeight="14.5"/>
  <cols>
    <col min="2" max="3" width="8.7265625" customWidth="1"/>
    <col min="4" max="4" width="13.54296875" customWidth="1"/>
    <col min="5" max="5" width="16.1796875" customWidth="1"/>
    <col min="6" max="6" width="35.7265625" customWidth="1"/>
    <col min="7" max="7" width="23.26953125" customWidth="1"/>
    <col min="8" max="12" width="10.26953125" customWidth="1"/>
    <col min="13" max="14" width="11.26953125" customWidth="1"/>
  </cols>
  <sheetData>
    <row r="4" spans="4:8" ht="14.5" customHeight="1"/>
    <row r="5" spans="4:8" ht="14.5" customHeight="1"/>
    <row r="6" spans="4:8" ht="33.5" customHeight="1">
      <c r="E6" s="12" t="s">
        <v>30</v>
      </c>
      <c r="F6" s="12" t="s">
        <v>31</v>
      </c>
      <c r="G6" s="12" t="s">
        <v>32</v>
      </c>
    </row>
    <row r="7" spans="4:8" ht="28" customHeight="1">
      <c r="E7" s="13" t="s">
        <v>33</v>
      </c>
      <c r="F7" s="10" t="s">
        <v>44</v>
      </c>
      <c r="G7" s="14" t="s">
        <v>34</v>
      </c>
    </row>
    <row r="8" spans="4:8" ht="25.5" customHeight="1">
      <c r="E8" s="14" t="s">
        <v>35</v>
      </c>
      <c r="F8" s="14" t="s">
        <v>36</v>
      </c>
      <c r="G8" s="14" t="s">
        <v>37</v>
      </c>
    </row>
    <row r="9" spans="4:8" ht="31" customHeight="1">
      <c r="D9" s="7"/>
      <c r="E9" s="13" t="s">
        <v>38</v>
      </c>
      <c r="F9" s="14" t="s">
        <v>39</v>
      </c>
      <c r="G9" s="14" t="s">
        <v>40</v>
      </c>
    </row>
    <row r="10" spans="4:8" ht="31">
      <c r="E10" s="14" t="s">
        <v>41</v>
      </c>
      <c r="F10" s="14" t="s">
        <v>42</v>
      </c>
      <c r="G10" s="14" t="s">
        <v>43</v>
      </c>
    </row>
    <row r="16" spans="4:8" ht="25" customHeight="1">
      <c r="E16" s="10" t="s">
        <v>45</v>
      </c>
      <c r="F16" s="10" t="s">
        <v>6</v>
      </c>
      <c r="G16" s="10" t="s">
        <v>7</v>
      </c>
      <c r="H16" s="10" t="s">
        <v>5</v>
      </c>
    </row>
    <row r="17" spans="5:8" ht="19" customHeight="1">
      <c r="E17" s="10" t="s">
        <v>46</v>
      </c>
      <c r="F17" s="11">
        <f>SUM(Sales_Data!G2:G51)</f>
        <v>6508395</v>
      </c>
      <c r="G17" s="10">
        <f>SUM(Sales_Data!H2:H51)</f>
        <v>1057795</v>
      </c>
      <c r="H17" s="10">
        <f>SUM(Sales_Data!F2:F51)</f>
        <v>277</v>
      </c>
    </row>
    <row r="18" spans="5:8" ht="20" customHeight="1">
      <c r="E18" s="10" t="s">
        <v>47</v>
      </c>
      <c r="F18" s="11">
        <f>AVERAGE(Sales_Data!G3:G52)</f>
        <v>131467</v>
      </c>
      <c r="G18" s="10">
        <f>AVERAGE(Sales_Data!H2:H51)</f>
        <v>21155.9</v>
      </c>
      <c r="H18" s="10">
        <f>AVERAGE(Sales_Data!F2:F51)</f>
        <v>5.54</v>
      </c>
    </row>
    <row r="19" spans="5:8" ht="20" customHeight="1">
      <c r="E19" s="10" t="s">
        <v>48</v>
      </c>
      <c r="F19" s="11">
        <f>MEDIAN(Sales_Data!G4:G53)</f>
        <v>85854.5</v>
      </c>
      <c r="G19" s="10">
        <f>MEDIAN(Sales_Data!H2:H51)</f>
        <v>15236.5</v>
      </c>
      <c r="H19" s="10">
        <f>MEDIAN(Sales_Data!F2:F51)</f>
        <v>5.5</v>
      </c>
    </row>
    <row r="20" spans="5:8" ht="20" customHeight="1">
      <c r="E20" s="10" t="s">
        <v>49</v>
      </c>
      <c r="F20" s="11">
        <f>MIN(Sales_Data!G5:G54)</f>
        <v>5286</v>
      </c>
      <c r="G20" s="10">
        <f>MIN(Sales_Data!H2:H51)</f>
        <v>271</v>
      </c>
      <c r="H20" s="10">
        <f>MIN(Sales_Data!F2:F51)</f>
        <v>1</v>
      </c>
    </row>
    <row r="21" spans="5:8" ht="19.5" customHeight="1">
      <c r="E21" s="10" t="s">
        <v>50</v>
      </c>
      <c r="F21" s="11">
        <f>MAX(Sales_Data!G6:G55)</f>
        <v>436130</v>
      </c>
      <c r="G21" s="10">
        <f>MAX(Sales_Data!H2:H51)</f>
        <v>85310</v>
      </c>
      <c r="H21" s="10">
        <f>MAX(Sales_Data!F2:F51)</f>
        <v>10</v>
      </c>
    </row>
    <row r="22" spans="5:8" ht="21" customHeight="1">
      <c r="E22" s="10" t="s">
        <v>51</v>
      </c>
      <c r="F22" s="11">
        <f>STDEV(Sales_Data!G7:G56)</f>
        <v>115004.68047463866</v>
      </c>
      <c r="G22" s="10">
        <f>STDEV(Sales_Data!H2:H51)</f>
        <v>20438.995666297764</v>
      </c>
      <c r="H22" s="10">
        <f>STDEV(Sales_Data!F2:F51)</f>
        <v>3.0318715173897433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6:C70"/>
  <sheetViews>
    <sheetView topLeftCell="A31" workbookViewId="0">
      <selection activeCell="D15" sqref="D15"/>
    </sheetView>
  </sheetViews>
  <sheetFormatPr defaultRowHeight="14.5"/>
  <cols>
    <col min="1" max="1" width="12.36328125" customWidth="1"/>
    <col min="2" max="3" width="11.81640625" customWidth="1"/>
  </cols>
  <sheetData>
    <row r="6" spans="1:3">
      <c r="B6" s="15" t="s">
        <v>55</v>
      </c>
    </row>
    <row r="7" spans="1:3">
      <c r="A7" s="15" t="s">
        <v>52</v>
      </c>
      <c r="B7" t="s">
        <v>54</v>
      </c>
      <c r="C7" t="s">
        <v>56</v>
      </c>
    </row>
    <row r="8" spans="1:3">
      <c r="A8" s="8" t="s">
        <v>8</v>
      </c>
      <c r="B8" s="9">
        <v>1212199</v>
      </c>
      <c r="C8" s="9">
        <v>236780</v>
      </c>
    </row>
    <row r="9" spans="1:3">
      <c r="A9" s="8" t="s">
        <v>14</v>
      </c>
      <c r="B9" s="9">
        <v>1813701</v>
      </c>
      <c r="C9" s="9">
        <v>320296</v>
      </c>
    </row>
    <row r="10" spans="1:3">
      <c r="A10" s="8" t="s">
        <v>15</v>
      </c>
      <c r="B10" s="9">
        <v>2179673</v>
      </c>
      <c r="C10" s="9">
        <v>267035</v>
      </c>
    </row>
    <row r="11" spans="1:3">
      <c r="A11" s="8" t="s">
        <v>11</v>
      </c>
      <c r="B11" s="9">
        <v>1302822</v>
      </c>
      <c r="C11" s="9">
        <v>233684</v>
      </c>
    </row>
    <row r="12" spans="1:3">
      <c r="A12" s="8" t="s">
        <v>53</v>
      </c>
      <c r="B12" s="9">
        <v>6508395</v>
      </c>
      <c r="C12" s="9">
        <v>1057795</v>
      </c>
    </row>
    <row r="20" spans="1:2">
      <c r="A20" s="15" t="s">
        <v>52</v>
      </c>
      <c r="B20" t="s">
        <v>54</v>
      </c>
    </row>
    <row r="21" spans="1:2">
      <c r="A21" s="8" t="s">
        <v>28</v>
      </c>
      <c r="B21" s="9">
        <v>104280</v>
      </c>
    </row>
    <row r="22" spans="1:2">
      <c r="A22" s="8" t="s">
        <v>12</v>
      </c>
      <c r="B22" s="9">
        <v>250691</v>
      </c>
    </row>
    <row r="23" spans="1:2">
      <c r="A23" s="8" t="s">
        <v>18</v>
      </c>
      <c r="B23" s="9">
        <v>647395</v>
      </c>
    </row>
    <row r="24" spans="1:2">
      <c r="A24" s="8" t="s">
        <v>24</v>
      </c>
      <c r="B24" s="9">
        <v>669407</v>
      </c>
    </row>
    <row r="25" spans="1:2">
      <c r="A25" s="8" t="s">
        <v>22</v>
      </c>
      <c r="B25" s="9">
        <v>436130</v>
      </c>
    </row>
    <row r="26" spans="1:2">
      <c r="A26" s="8" t="s">
        <v>20</v>
      </c>
      <c r="B26" s="9">
        <v>286200</v>
      </c>
    </row>
    <row r="27" spans="1:2">
      <c r="A27" s="8" t="s">
        <v>23</v>
      </c>
      <c r="B27" s="9">
        <v>551847</v>
      </c>
    </row>
    <row r="28" spans="1:2">
      <c r="A28" s="8" t="s">
        <v>27</v>
      </c>
      <c r="B28" s="9">
        <v>462022</v>
      </c>
    </row>
    <row r="29" spans="1:2">
      <c r="A29" s="8" t="s">
        <v>17</v>
      </c>
      <c r="B29" s="9">
        <v>237630</v>
      </c>
    </row>
    <row r="30" spans="1:2">
      <c r="A30" s="8" t="s">
        <v>21</v>
      </c>
      <c r="B30" s="9">
        <v>211665</v>
      </c>
    </row>
    <row r="31" spans="1:2">
      <c r="A31" s="8" t="s">
        <v>9</v>
      </c>
      <c r="B31" s="9">
        <v>137639</v>
      </c>
    </row>
    <row r="32" spans="1:2">
      <c r="A32" s="8" t="s">
        <v>29</v>
      </c>
      <c r="B32" s="9">
        <v>81335</v>
      </c>
    </row>
    <row r="33" spans="1:2">
      <c r="A33" s="8" t="s">
        <v>26</v>
      </c>
      <c r="B33" s="9">
        <v>1141036</v>
      </c>
    </row>
    <row r="34" spans="1:2">
      <c r="A34" s="8" t="s">
        <v>25</v>
      </c>
      <c r="B34" s="9">
        <v>775490</v>
      </c>
    </row>
    <row r="35" spans="1:2">
      <c r="A35" s="8" t="s">
        <v>16</v>
      </c>
      <c r="B35" s="9">
        <v>515628</v>
      </c>
    </row>
    <row r="36" spans="1:2">
      <c r="A36" s="8" t="s">
        <v>53</v>
      </c>
      <c r="B36" s="9">
        <v>6508395</v>
      </c>
    </row>
    <row r="39" spans="1:2">
      <c r="A39" s="15" t="s">
        <v>52</v>
      </c>
      <c r="B39" t="s">
        <v>54</v>
      </c>
    </row>
    <row r="40" spans="1:2">
      <c r="A40" s="16" t="s">
        <v>57</v>
      </c>
      <c r="B40" s="9">
        <v>255467</v>
      </c>
    </row>
    <row r="41" spans="1:2">
      <c r="A41" s="16" t="s">
        <v>58</v>
      </c>
      <c r="B41" s="9">
        <v>646515</v>
      </c>
    </row>
    <row r="42" spans="1:2">
      <c r="A42" s="16" t="s">
        <v>59</v>
      </c>
      <c r="B42" s="9">
        <v>572024</v>
      </c>
    </row>
    <row r="43" spans="1:2">
      <c r="A43" s="16" t="s">
        <v>60</v>
      </c>
      <c r="B43" s="9">
        <v>826880</v>
      </c>
    </row>
    <row r="44" spans="1:2">
      <c r="A44" s="16" t="s">
        <v>61</v>
      </c>
      <c r="B44" s="9">
        <v>1463644</v>
      </c>
    </row>
    <row r="45" spans="1:2">
      <c r="A45" s="16" t="s">
        <v>62</v>
      </c>
      <c r="B45" s="9">
        <v>184266</v>
      </c>
    </row>
    <row r="46" spans="1:2">
      <c r="A46" s="16" t="s">
        <v>63</v>
      </c>
      <c r="B46" s="9">
        <v>695213</v>
      </c>
    </row>
    <row r="47" spans="1:2">
      <c r="A47" s="16" t="s">
        <v>64</v>
      </c>
      <c r="B47" s="9">
        <v>76930</v>
      </c>
    </row>
    <row r="48" spans="1:2">
      <c r="A48" s="16" t="s">
        <v>65</v>
      </c>
      <c r="B48" s="9">
        <v>511792</v>
      </c>
    </row>
    <row r="49" spans="1:2">
      <c r="A49" s="16" t="s">
        <v>66</v>
      </c>
      <c r="B49" s="9">
        <v>409371</v>
      </c>
    </row>
    <row r="50" spans="1:2">
      <c r="A50" s="16" t="s">
        <v>67</v>
      </c>
      <c r="B50" s="9">
        <v>866293</v>
      </c>
    </row>
    <row r="51" spans="1:2">
      <c r="A51" s="16" t="s">
        <v>53</v>
      </c>
      <c r="B51" s="9">
        <v>6508395</v>
      </c>
    </row>
    <row r="59" spans="1:2">
      <c r="A59" s="15" t="s">
        <v>52</v>
      </c>
      <c r="B59" t="s">
        <v>56</v>
      </c>
    </row>
    <row r="60" spans="1:2">
      <c r="A60" s="8">
        <v>1</v>
      </c>
      <c r="B60" s="9">
        <v>7680</v>
      </c>
    </row>
    <row r="61" spans="1:2">
      <c r="A61" s="8">
        <v>2</v>
      </c>
      <c r="B61" s="9">
        <v>42622</v>
      </c>
    </row>
    <row r="62" spans="1:2">
      <c r="A62" s="8">
        <v>3</v>
      </c>
      <c r="B62" s="9">
        <v>60512</v>
      </c>
    </row>
    <row r="63" spans="1:2">
      <c r="A63" s="8">
        <v>4</v>
      </c>
      <c r="B63" s="9">
        <v>132634</v>
      </c>
    </row>
    <row r="64" spans="1:2">
      <c r="A64" s="8">
        <v>5</v>
      </c>
      <c r="B64" s="9">
        <v>50454</v>
      </c>
    </row>
    <row r="65" spans="1:2">
      <c r="A65" s="8">
        <v>6</v>
      </c>
      <c r="B65" s="9">
        <v>67711</v>
      </c>
    </row>
    <row r="66" spans="1:2">
      <c r="A66" s="8">
        <v>7</v>
      </c>
      <c r="B66" s="9">
        <v>192980</v>
      </c>
    </row>
    <row r="67" spans="1:2">
      <c r="A67" s="8">
        <v>8</v>
      </c>
      <c r="B67" s="9">
        <v>121532</v>
      </c>
    </row>
    <row r="68" spans="1:2">
      <c r="A68" s="8">
        <v>9</v>
      </c>
      <c r="B68" s="9">
        <v>166029</v>
      </c>
    </row>
    <row r="69" spans="1:2">
      <c r="A69" s="8">
        <v>10</v>
      </c>
      <c r="B69" s="9">
        <v>215641</v>
      </c>
    </row>
    <row r="70" spans="1:2">
      <c r="A70" s="8" t="s">
        <v>53</v>
      </c>
      <c r="B70" s="9">
        <v>1057795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>
  <dimension ref="F1:H2"/>
  <sheetViews>
    <sheetView tabSelected="1" workbookViewId="0">
      <selection activeCell="H21" sqref="H21"/>
    </sheetView>
  </sheetViews>
  <sheetFormatPr defaultRowHeight="14.5"/>
  <sheetData>
    <row r="1" spans="6:8" ht="31">
      <c r="F1" s="19" t="s">
        <v>68</v>
      </c>
      <c r="G1" s="18"/>
      <c r="H1" s="18"/>
    </row>
    <row r="2" spans="6:8">
      <c r="H2" s="4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EDA Questions</vt:lpstr>
      <vt:lpstr>EDA Summary</vt:lpstr>
      <vt:lpstr>Visualizations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</dc:creator>
  <cp:lastModifiedBy>delll</cp:lastModifiedBy>
  <dcterms:created xsi:type="dcterms:W3CDTF">2025-11-09T11:51:40Z</dcterms:created>
  <dcterms:modified xsi:type="dcterms:W3CDTF">2025-11-12T17:15:42Z</dcterms:modified>
</cp:coreProperties>
</file>